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volatileDependencies.xml" ContentType="application/vnd.openxmlformats-officedocument.spreadsheetml.volatileDependenc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code\em_debt\sovereing_score\input\"/>
    </mc:Choice>
  </mc:AlternateContent>
  <xr:revisionPtr revIDLastSave="0" documentId="8_{5AD4A086-36A0-4303-9D0D-7AD2B3B8A5B8}" xr6:coauthVersionLast="47" xr6:coauthVersionMax="47" xr10:uidLastSave="{00000000-0000-0000-0000-000000000000}"/>
  <bookViews>
    <workbookView xWindow="-28920" yWindow="-120" windowWidth="29040" windowHeight="15720" activeTab="3" xr2:uid="{ED4FE661-4BB4-442E-8F9D-1F0E200741BB}"/>
  </bookViews>
  <sheets>
    <sheet name="ratings_clean" sheetId="7" r:id="rId1"/>
    <sheet name="ratings_map" sheetId="1" r:id="rId2"/>
    <sheet name="z_spread_and_yield" sheetId="3" r:id="rId3"/>
    <sheet name="sub_index" sheetId="8" r:id="rId4"/>
    <sheet name="rating_num_scale" sheetId="2" r:id="rId5"/>
  </sheets>
  <definedNames>
    <definedName name="_xlnm._FilterDatabase" localSheetId="1" hidden="1">ratings_map!$A$2:$P$66</definedName>
    <definedName name="_xlnm._FilterDatabase" localSheetId="2" hidden="1">z_spread_and_yield!$B$1:$D$1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2" i="8" l="1"/>
  <c r="D3" i="8"/>
  <c r="D23" i="8"/>
  <c r="D43" i="8"/>
  <c r="D63" i="8"/>
  <c r="D24" i="8"/>
  <c r="D52" i="8"/>
  <c r="D4" i="8"/>
  <c r="D5" i="8"/>
  <c r="D6" i="8"/>
  <c r="D26" i="8"/>
  <c r="D7" i="8"/>
  <c r="D27" i="8"/>
  <c r="D47" i="8"/>
  <c r="D28" i="8"/>
  <c r="D48" i="8"/>
  <c r="D29" i="8"/>
  <c r="D49" i="8"/>
  <c r="D8" i="8"/>
  <c r="D10" i="8"/>
  <c r="D53" i="8"/>
  <c r="D9" i="8"/>
  <c r="D11" i="8"/>
  <c r="D31" i="8"/>
  <c r="D51" i="8"/>
  <c r="D32" i="8"/>
  <c r="D33" i="8"/>
  <c r="D34" i="8"/>
  <c r="D12" i="8"/>
  <c r="D13" i="8"/>
  <c r="D14" i="8"/>
  <c r="D15" i="8"/>
  <c r="D35" i="8"/>
  <c r="D55" i="8"/>
  <c r="D56" i="8"/>
  <c r="D37" i="8"/>
  <c r="D57" i="8"/>
  <c r="D22" i="8"/>
  <c r="D64" i="8"/>
  <c r="D45" i="8"/>
  <c r="D30" i="8"/>
  <c r="D54" i="8"/>
  <c r="D16" i="8"/>
  <c r="D36" i="8"/>
  <c r="D25" i="8"/>
  <c r="D46" i="8"/>
  <c r="D50" i="8"/>
  <c r="D17" i="8"/>
  <c r="D18" i="8"/>
  <c r="D38" i="8"/>
  <c r="D58" i="8"/>
  <c r="D59" i="8"/>
  <c r="D40" i="8"/>
  <c r="D41" i="8"/>
  <c r="D42" i="8"/>
  <c r="D62" i="8"/>
  <c r="D44" i="8"/>
  <c r="D19" i="8"/>
  <c r="D39" i="8"/>
  <c r="D20" i="8"/>
  <c r="D60" i="8"/>
  <c r="D61" i="8"/>
  <c r="D21" i="8"/>
  <c r="D2" i="8"/>
  <c r="C3" i="8"/>
  <c r="C37" i="8"/>
  <c r="C38" i="8"/>
  <c r="C52" i="8"/>
  <c r="C62" i="8"/>
  <c r="C51" i="8"/>
  <c r="C54" i="8"/>
  <c r="C58" i="8"/>
  <c r="C49" i="8"/>
  <c r="C29" i="8"/>
  <c r="C35" i="8"/>
  <c r="C19" i="8"/>
  <c r="C36" i="8"/>
  <c r="C39" i="8"/>
  <c r="C59" i="8"/>
  <c r="C50" i="8"/>
  <c r="C32" i="8"/>
  <c r="C20" i="8"/>
  <c r="C40" i="8"/>
  <c r="C60" i="8"/>
  <c r="C61" i="8"/>
  <c r="C45" i="8"/>
  <c r="C21" i="8"/>
  <c r="C41" i="8"/>
  <c r="C44" i="8"/>
  <c r="C25" i="8"/>
  <c r="C46" i="8"/>
  <c r="C47" i="8"/>
  <c r="C48" i="8"/>
  <c r="C53" i="8"/>
  <c r="C57" i="8"/>
  <c r="C22" i="8"/>
  <c r="C42" i="8"/>
  <c r="C43" i="8"/>
  <c r="C63" i="8"/>
  <c r="C64" i="8"/>
  <c r="C27" i="8"/>
  <c r="C28" i="8"/>
  <c r="C33" i="8"/>
  <c r="C34" i="8"/>
  <c r="C23" i="8"/>
  <c r="C30" i="8"/>
  <c r="C24" i="8"/>
  <c r="C56" i="8"/>
  <c r="C26" i="8"/>
  <c r="C31" i="8"/>
  <c r="C55" i="8"/>
  <c r="C4" i="8"/>
  <c r="C5" i="8"/>
  <c r="C7" i="8"/>
  <c r="C8" i="8"/>
  <c r="C9" i="8"/>
  <c r="C10" i="8"/>
  <c r="C11" i="8"/>
  <c r="C12" i="8"/>
  <c r="C14" i="8"/>
  <c r="C15" i="8"/>
  <c r="C16" i="8"/>
  <c r="C17" i="8"/>
  <c r="C18" i="8"/>
  <c r="C6" i="8"/>
  <c r="C13" i="8"/>
  <c r="K9" i="1"/>
  <c r="F30" i="1"/>
  <c r="J48" i="1"/>
  <c r="F45" i="1"/>
  <c r="H45" i="1"/>
  <c r="L31" i="1"/>
  <c r="L59" i="1"/>
  <c r="G63" i="1"/>
  <c r="J66" i="1"/>
  <c r="G58" i="1"/>
  <c r="H40" i="1"/>
  <c r="K26" i="1"/>
  <c r="I40" i="1"/>
  <c r="K40" i="1"/>
  <c r="K53" i="1"/>
  <c r="H14" i="1"/>
  <c r="J25" i="1"/>
  <c r="G28" i="1"/>
  <c r="H20" i="1"/>
  <c r="H25" i="1"/>
  <c r="L41" i="1"/>
  <c r="G17" i="1"/>
  <c r="K33" i="1"/>
  <c r="H41" i="1"/>
  <c r="J52" i="1"/>
  <c r="D11" i="1"/>
  <c r="I51" i="1"/>
  <c r="K55" i="1"/>
  <c r="J55" i="1"/>
  <c r="I61" i="1"/>
  <c r="L49" i="1"/>
  <c r="L19" i="1"/>
  <c r="D60" i="3"/>
  <c r="D51" i="3"/>
  <c r="F56" i="3"/>
  <c r="D10" i="3"/>
  <c r="D50" i="3"/>
  <c r="D27" i="3"/>
  <c r="B11" i="1"/>
  <c r="B16" i="1"/>
  <c r="F39" i="3"/>
  <c r="F42" i="3"/>
  <c r="F21" i="3"/>
  <c r="E49" i="1"/>
  <c r="L55" i="1"/>
  <c r="F20" i="3"/>
  <c r="I42" i="1"/>
  <c r="G65" i="1"/>
  <c r="B23" i="1"/>
  <c r="E27" i="1"/>
  <c r="F57" i="3"/>
  <c r="F44" i="3"/>
  <c r="I54" i="1"/>
  <c r="K5" i="1"/>
  <c r="J14" i="1"/>
  <c r="H47" i="1"/>
  <c r="E36" i="1"/>
  <c r="G20" i="1"/>
  <c r="I14" i="1"/>
  <c r="F65" i="1"/>
  <c r="B65" i="1"/>
  <c r="D6" i="1"/>
  <c r="F15" i="3"/>
  <c r="L9" i="1"/>
  <c r="F4" i="1"/>
  <c r="B60" i="1"/>
  <c r="L33" i="1"/>
  <c r="E37" i="1"/>
  <c r="F54" i="3"/>
  <c r="F27" i="3"/>
  <c r="J63" i="1"/>
  <c r="L34" i="1"/>
  <c r="E15" i="1"/>
  <c r="D37" i="1"/>
  <c r="F2" i="3"/>
  <c r="G21" i="1"/>
  <c r="B58" i="1"/>
  <c r="E53" i="1"/>
  <c r="H43" i="1"/>
  <c r="F27" i="1"/>
  <c r="F64" i="3"/>
  <c r="D28" i="3"/>
  <c r="K64" i="1"/>
  <c r="E9" i="1"/>
  <c r="H46" i="1"/>
  <c r="J64" i="1"/>
  <c r="E35" i="1"/>
  <c r="L47" i="1"/>
  <c r="J31" i="1"/>
  <c r="I59" i="1"/>
  <c r="F63" i="1"/>
  <c r="D58" i="1"/>
  <c r="I36" i="1"/>
  <c r="J5" i="1"/>
  <c r="E34" i="1"/>
  <c r="I26" i="1"/>
  <c r="J53" i="1"/>
  <c r="I28" i="1"/>
  <c r="F42" i="1"/>
  <c r="D42" i="1"/>
  <c r="H3" i="1"/>
  <c r="F10" i="1"/>
  <c r="E33" i="1"/>
  <c r="F33" i="1"/>
  <c r="J23" i="1"/>
  <c r="K57" i="1"/>
  <c r="L7" i="1"/>
  <c r="F38" i="1"/>
  <c r="G38" i="1"/>
  <c r="B19" i="1"/>
  <c r="I55" i="1"/>
  <c r="I19" i="1"/>
  <c r="H62" i="1"/>
  <c r="E19" i="1"/>
  <c r="D20" i="3"/>
  <c r="F47" i="3"/>
  <c r="D12" i="3"/>
  <c r="F29" i="3"/>
  <c r="D21" i="3"/>
  <c r="F60" i="3"/>
  <c r="I43" i="1"/>
  <c r="I25" i="1"/>
  <c r="J42" i="1"/>
  <c r="B33" i="1"/>
  <c r="H23" i="1"/>
  <c r="H57" i="1"/>
  <c r="L39" i="1"/>
  <c r="F62" i="1"/>
  <c r="F50" i="3"/>
  <c r="E38" i="1"/>
  <c r="D44" i="1"/>
  <c r="D43" i="3"/>
  <c r="H55" i="1"/>
  <c r="F40" i="3"/>
  <c r="J22" i="1"/>
  <c r="F11" i="1"/>
  <c r="I27" i="1"/>
  <c r="J39" i="1"/>
  <c r="D37" i="3"/>
  <c r="I58" i="1"/>
  <c r="K20" i="1"/>
  <c r="K14" i="1"/>
  <c r="D33" i="3"/>
  <c r="G35" i="1"/>
  <c r="L50" i="1"/>
  <c r="G24" i="1"/>
  <c r="L42" i="1"/>
  <c r="H30" i="1"/>
  <c r="D24" i="1"/>
  <c r="B31" i="1"/>
  <c r="G60" i="1"/>
  <c r="G32" i="1"/>
  <c r="D20" i="1"/>
  <c r="D8" i="1"/>
  <c r="G49" i="1"/>
  <c r="I9" i="1"/>
  <c r="G54" i="1"/>
  <c r="H13" i="1"/>
  <c r="G64" i="1"/>
  <c r="D46" i="1"/>
  <c r="I31" i="1"/>
  <c r="J4" i="1"/>
  <c r="H60" i="1"/>
  <c r="H31" i="1"/>
  <c r="G12" i="1"/>
  <c r="E5" i="1"/>
  <c r="L53" i="1"/>
  <c r="J56" i="1"/>
  <c r="G56" i="1"/>
  <c r="H26" i="1"/>
  <c r="B22" i="1"/>
  <c r="E20" i="1"/>
  <c r="I7" i="1"/>
  <c r="H65" i="1"/>
  <c r="K38" i="1"/>
  <c r="D62" i="1"/>
  <c r="K16" i="1"/>
  <c r="D11" i="3"/>
  <c r="D29" i="3"/>
  <c r="L17" i="1"/>
  <c r="L61" i="1"/>
  <c r="H27" i="1"/>
  <c r="D48" i="3"/>
  <c r="F13" i="3"/>
  <c r="D47" i="3"/>
  <c r="D53" i="3"/>
  <c r="I34" i="1"/>
  <c r="F43" i="1"/>
  <c r="E29" i="1"/>
  <c r="B17" i="1"/>
  <c r="D17" i="3"/>
  <c r="D30" i="1"/>
  <c r="G23" i="1"/>
  <c r="H38" i="1"/>
  <c r="K19" i="1"/>
  <c r="H19" i="1"/>
  <c r="K49" i="1"/>
  <c r="D62" i="3"/>
  <c r="B54" i="1"/>
  <c r="K30" i="1"/>
  <c r="G30" i="1"/>
  <c r="J46" i="1"/>
  <c r="K45" i="1"/>
  <c r="J60" i="1"/>
  <c r="H58" i="1"/>
  <c r="D4" i="1"/>
  <c r="K63" i="1"/>
  <c r="J58" i="1"/>
  <c r="L26" i="1"/>
  <c r="L15" i="1"/>
  <c r="F18" i="1"/>
  <c r="H5" i="1"/>
  <c r="F5" i="1"/>
  <c r="L20" i="1"/>
  <c r="J20" i="1"/>
  <c r="G43" i="1"/>
  <c r="K42" i="1"/>
  <c r="J43" i="1"/>
  <c r="E17" i="1"/>
  <c r="L52" i="1"/>
  <c r="L23" i="1"/>
  <c r="D65" i="1"/>
  <c r="J24" i="1"/>
  <c r="D31" i="1"/>
  <c r="B53" i="1"/>
  <c r="B28" i="1"/>
  <c r="B52" i="1"/>
  <c r="G51" i="1"/>
  <c r="B62" i="1"/>
  <c r="D38" i="3"/>
  <c r="J9" i="1"/>
  <c r="K4" i="1"/>
  <c r="I4" i="1"/>
  <c r="B18" i="1"/>
  <c r="D10" i="1"/>
  <c r="G62" i="1"/>
  <c r="H54" i="1"/>
  <c r="G15" i="1"/>
  <c r="D43" i="1"/>
  <c r="H7" i="1"/>
  <c r="J38" i="1"/>
  <c r="F51" i="3"/>
  <c r="H48" i="1"/>
  <c r="K54" i="1"/>
  <c r="L4" i="1"/>
  <c r="D47" i="1"/>
  <c r="G4" i="1"/>
  <c r="L66" i="1"/>
  <c r="B26" i="1"/>
  <c r="K28" i="1"/>
  <c r="H28" i="1"/>
  <c r="J29" i="1"/>
  <c r="B41" i="1"/>
  <c r="F51" i="1"/>
  <c r="G61" i="1"/>
  <c r="G55" i="1"/>
  <c r="F61" i="3"/>
  <c r="L21" i="1"/>
  <c r="L24" i="1"/>
  <c r="G34" i="1"/>
  <c r="L8" i="1"/>
  <c r="J65" i="1"/>
  <c r="F58" i="3"/>
  <c r="L64" i="1"/>
  <c r="D13" i="1"/>
  <c r="E46" i="1"/>
  <c r="B13" i="1"/>
  <c r="G13" i="1"/>
  <c r="E31" i="1"/>
  <c r="E59" i="1"/>
  <c r="I66" i="1"/>
  <c r="J12" i="1"/>
  <c r="F12" i="1"/>
  <c r="G26" i="1"/>
  <c r="G18" i="1"/>
  <c r="B5" i="1"/>
  <c r="G36" i="1"/>
  <c r="E26" i="1"/>
  <c r="D22" i="1"/>
  <c r="H10" i="1"/>
  <c r="D25" i="1"/>
  <c r="E28" i="1"/>
  <c r="D3" i="1"/>
  <c r="J7" i="1"/>
  <c r="L29" i="1"/>
  <c r="G50" i="1"/>
  <c r="G29" i="1"/>
  <c r="D33" i="1"/>
  <c r="E11" i="1"/>
  <c r="L51" i="1"/>
  <c r="D41" i="3"/>
  <c r="J61" i="1"/>
  <c r="J19" i="1"/>
  <c r="I16" i="1"/>
  <c r="F6" i="1"/>
  <c r="L37" i="1"/>
  <c r="D6" i="3"/>
  <c r="D25" i="3"/>
  <c r="D39" i="3"/>
  <c r="F48" i="3"/>
  <c r="F31" i="3"/>
  <c r="D54" i="3"/>
  <c r="H18" i="1"/>
  <c r="F20" i="1"/>
  <c r="B10" i="1"/>
  <c r="K32" i="1"/>
  <c r="E42" i="1"/>
  <c r="H42" i="1"/>
  <c r="G52" i="1"/>
  <c r="E7" i="1"/>
  <c r="F41" i="1"/>
  <c r="F29" i="1"/>
  <c r="E65" i="1"/>
  <c r="D51" i="1"/>
  <c r="L38" i="1"/>
  <c r="D15" i="3"/>
  <c r="L16" i="1"/>
  <c r="F19" i="1"/>
  <c r="E16" i="1"/>
  <c r="F61" i="1"/>
  <c r="D13" i="3"/>
  <c r="D23" i="3"/>
  <c r="F59" i="3"/>
  <c r="F33" i="3"/>
  <c r="F19" i="3"/>
  <c r="F53" i="3"/>
  <c r="D30" i="3"/>
  <c r="D8" i="3"/>
  <c r="J21" i="1"/>
  <c r="J35" i="1"/>
  <c r="D59" i="1"/>
  <c r="E24" i="1"/>
  <c r="D53" i="1"/>
  <c r="I22" i="1"/>
  <c r="D49" i="3"/>
  <c r="F36" i="1"/>
  <c r="F14" i="1"/>
  <c r="B29" i="1"/>
  <c r="L6" i="1"/>
  <c r="D27" i="1"/>
  <c r="D26" i="3"/>
  <c r="F45" i="3"/>
  <c r="F43" i="3"/>
  <c r="D54" i="1"/>
  <c r="I53" i="1"/>
  <c r="K23" i="1"/>
  <c r="F57" i="1"/>
  <c r="D16" i="1"/>
  <c r="H64" i="1"/>
  <c r="F25" i="1"/>
  <c r="F52" i="1"/>
  <c r="J6" i="1"/>
  <c r="F10" i="3"/>
  <c r="I46" i="1"/>
  <c r="I64" i="1"/>
  <c r="H35" i="1"/>
  <c r="D35" i="1"/>
  <c r="F48" i="1"/>
  <c r="L60" i="1"/>
  <c r="L63" i="1"/>
  <c r="L12" i="1"/>
  <c r="B4" i="1"/>
  <c r="B59" i="1"/>
  <c r="B36" i="1"/>
  <c r="H36" i="1"/>
  <c r="F15" i="1"/>
  <c r="K56" i="1"/>
  <c r="D55" i="1"/>
  <c r="G41" i="1"/>
  <c r="D42" i="3"/>
  <c r="F21" i="1"/>
  <c r="I12" i="1"/>
  <c r="B8" i="1"/>
  <c r="L43" i="1"/>
  <c r="B20" i="1"/>
  <c r="K27" i="1"/>
  <c r="D64" i="1"/>
  <c r="F40" i="1"/>
  <c r="K10" i="1"/>
  <c r="F50" i="1"/>
  <c r="G44" i="1"/>
  <c r="D49" i="1"/>
  <c r="D19" i="3"/>
  <c r="G19" i="1"/>
  <c r="D2" i="3"/>
  <c r="E54" i="1"/>
  <c r="F64" i="1"/>
  <c r="B21" i="1"/>
  <c r="K46" i="1"/>
  <c r="F54" i="1"/>
  <c r="H59" i="1"/>
  <c r="H63" i="1"/>
  <c r="I47" i="1"/>
  <c r="D60" i="1"/>
  <c r="F60" i="1"/>
  <c r="I8" i="1"/>
  <c r="F8" i="1"/>
  <c r="F34" i="1"/>
  <c r="E56" i="1"/>
  <c r="L56" i="1"/>
  <c r="B43" i="1"/>
  <c r="J28" i="1"/>
  <c r="I20" i="1"/>
  <c r="D32" i="1"/>
  <c r="L22" i="1"/>
  <c r="L65" i="1"/>
  <c r="G57" i="1"/>
  <c r="I50" i="1"/>
  <c r="E52" i="1"/>
  <c r="K29" i="1"/>
  <c r="K44" i="1"/>
  <c r="E51" i="1"/>
  <c r="F26" i="3"/>
  <c r="E39" i="1"/>
  <c r="H6" i="1"/>
  <c r="E62" i="1"/>
  <c r="E6" i="1"/>
  <c r="F37" i="1"/>
  <c r="F63" i="3"/>
  <c r="F41" i="3"/>
  <c r="D22" i="3"/>
  <c r="D35" i="3"/>
  <c r="I13" i="1"/>
  <c r="H9" i="1"/>
  <c r="E64" i="1"/>
  <c r="F58" i="1"/>
  <c r="E66" i="1"/>
  <c r="H12" i="1"/>
  <c r="J40" i="1"/>
  <c r="D36" i="1"/>
  <c r="I18" i="1"/>
  <c r="B25" i="1"/>
  <c r="D52" i="1"/>
  <c r="D44" i="3"/>
  <c r="F17" i="3"/>
  <c r="J54" i="1"/>
  <c r="H53" i="1"/>
  <c r="L10" i="1"/>
  <c r="B50" i="1"/>
  <c r="J33" i="1"/>
  <c r="D57" i="3"/>
  <c r="B39" i="1"/>
  <c r="F32" i="3"/>
  <c r="F52" i="3"/>
  <c r="F30" i="3"/>
  <c r="J59" i="1"/>
  <c r="F56" i="1"/>
  <c r="I3" i="1"/>
  <c r="D17" i="1"/>
  <c r="H11" i="1"/>
  <c r="D9" i="3"/>
  <c r="D9" i="1"/>
  <c r="D38" i="1"/>
  <c r="D39" i="1"/>
  <c r="F35" i="1"/>
  <c r="E4" i="1"/>
  <c r="B40" i="1"/>
  <c r="F28" i="1"/>
  <c r="I52" i="1"/>
  <c r="H17" i="1"/>
  <c r="I11" i="1"/>
  <c r="F49" i="3"/>
  <c r="D63" i="3"/>
  <c r="G46" i="1"/>
  <c r="L46" i="1"/>
  <c r="E63" i="1"/>
  <c r="F47" i="1"/>
  <c r="D66" i="1"/>
  <c r="G53" i="1"/>
  <c r="H56" i="1"/>
  <c r="H22" i="1"/>
  <c r="G42" i="1"/>
  <c r="J44" i="1"/>
  <c r="D52" i="3"/>
  <c r="I48" i="1"/>
  <c r="E21" i="1"/>
  <c r="B45" i="1"/>
  <c r="B35" i="1"/>
  <c r="L35" i="1"/>
  <c r="E12" i="1"/>
  <c r="K66" i="1"/>
  <c r="E60" i="1"/>
  <c r="K24" i="1"/>
  <c r="E47" i="1"/>
  <c r="K34" i="1"/>
  <c r="J36" i="1"/>
  <c r="H8" i="1"/>
  <c r="K15" i="1"/>
  <c r="L18" i="1"/>
  <c r="E43" i="1"/>
  <c r="J10" i="1"/>
  <c r="K43" i="1"/>
  <c r="J32" i="1"/>
  <c r="L28" i="1"/>
  <c r="B57" i="1"/>
  <c r="K50" i="1"/>
  <c r="I29" i="1"/>
  <c r="D23" i="1"/>
  <c r="K17" i="1"/>
  <c r="J51" i="1"/>
  <c r="K11" i="1"/>
  <c r="D31" i="3"/>
  <c r="G6" i="1"/>
  <c r="J37" i="1"/>
  <c r="K61" i="1"/>
  <c r="I39" i="1"/>
  <c r="J16" i="1"/>
  <c r="F7" i="3"/>
  <c r="D32" i="3"/>
  <c r="F22" i="3"/>
  <c r="D56" i="3"/>
  <c r="F4" i="3"/>
  <c r="D45" i="3"/>
  <c r="F13" i="1"/>
  <c r="F24" i="1"/>
  <c r="I24" i="1"/>
  <c r="H15" i="1"/>
  <c r="L40" i="1"/>
  <c r="B6" i="1"/>
  <c r="F37" i="3"/>
  <c r="I37" i="1"/>
  <c r="F46" i="3"/>
  <c r="E48" i="1"/>
  <c r="I60" i="1"/>
  <c r="F26" i="1"/>
  <c r="I10" i="1"/>
  <c r="I65" i="1"/>
  <c r="K65" i="1"/>
  <c r="L27" i="1"/>
  <c r="D36" i="3"/>
  <c r="D48" i="1"/>
  <c r="K48" i="1"/>
  <c r="K35" i="1"/>
  <c r="K13" i="1"/>
  <c r="F9" i="1"/>
  <c r="K47" i="1"/>
  <c r="D63" i="1"/>
  <c r="G31" i="1"/>
  <c r="B47" i="1"/>
  <c r="B24" i="1"/>
  <c r="J15" i="1"/>
  <c r="B34" i="1"/>
  <c r="J34" i="1"/>
  <c r="D34" i="1"/>
  <c r="K36" i="1"/>
  <c r="G25" i="1"/>
  <c r="K25" i="1"/>
  <c r="E25" i="1"/>
  <c r="E10" i="1"/>
  <c r="I32" i="1"/>
  <c r="D41" i="1"/>
  <c r="G33" i="1"/>
  <c r="I17" i="1"/>
  <c r="F17" i="1"/>
  <c r="E57" i="1"/>
  <c r="B44" i="1"/>
  <c r="L11" i="1"/>
  <c r="D5" i="3"/>
  <c r="K62" i="1"/>
  <c r="B37" i="1"/>
  <c r="B27" i="1"/>
  <c r="I62" i="1"/>
  <c r="J49" i="1"/>
  <c r="D64" i="3"/>
  <c r="F6" i="3"/>
  <c r="F11" i="3"/>
  <c r="D24" i="3"/>
  <c r="D46" i="3"/>
  <c r="L54" i="1"/>
  <c r="E30" i="1"/>
  <c r="G45" i="1"/>
  <c r="E45" i="1"/>
  <c r="F46" i="1"/>
  <c r="D12" i="1"/>
  <c r="F59" i="1"/>
  <c r="G66" i="1"/>
  <c r="G47" i="1"/>
  <c r="E58" i="1"/>
  <c r="L36" i="1"/>
  <c r="D26" i="1"/>
  <c r="D18" i="1"/>
  <c r="J26" i="1"/>
  <c r="B56" i="1"/>
  <c r="E14" i="1"/>
  <c r="K22" i="1"/>
  <c r="J3" i="1"/>
  <c r="L14" i="1"/>
  <c r="L25" i="1"/>
  <c r="D29" i="1"/>
  <c r="D57" i="1"/>
  <c r="J17" i="1"/>
  <c r="E23" i="1"/>
  <c r="K7" i="1"/>
  <c r="H44" i="1"/>
  <c r="F44" i="1"/>
  <c r="H61" i="1"/>
  <c r="L30" i="1"/>
  <c r="J11" i="1"/>
  <c r="D61" i="1"/>
  <c r="F55" i="3"/>
  <c r="L13" i="1"/>
  <c r="K8" i="1"/>
  <c r="G10" i="1"/>
  <c r="J50" i="1"/>
  <c r="E55" i="1"/>
  <c r="D40" i="3"/>
  <c r="F22" i="1"/>
  <c r="L57" i="1"/>
  <c r="I38" i="1"/>
  <c r="J27" i="1"/>
  <c r="F49" i="1"/>
  <c r="I6" i="1"/>
  <c r="D4" i="3"/>
  <c r="J45" i="1"/>
  <c r="J13" i="1"/>
  <c r="I35" i="1"/>
  <c r="B64" i="1"/>
  <c r="I21" i="1"/>
  <c r="B9" i="1"/>
  <c r="H4" i="1"/>
  <c r="B66" i="1"/>
  <c r="H66" i="1"/>
  <c r="K58" i="1"/>
  <c r="H24" i="1"/>
  <c r="G5" i="1"/>
  <c r="I56" i="1"/>
  <c r="D40" i="1"/>
  <c r="F53" i="1"/>
  <c r="J8" i="1"/>
  <c r="G14" i="1"/>
  <c r="H32" i="1"/>
  <c r="F32" i="1"/>
  <c r="E22" i="1"/>
  <c r="L3" i="1"/>
  <c r="K52" i="1"/>
  <c r="B7" i="1"/>
  <c r="I33" i="1"/>
  <c r="K41" i="1"/>
  <c r="G7" i="1"/>
  <c r="G11" i="1"/>
  <c r="I44" i="1"/>
  <c r="G37" i="1"/>
  <c r="B55" i="1"/>
  <c r="H37" i="1"/>
  <c r="K37" i="1"/>
  <c r="J62" i="1"/>
  <c r="F23" i="3"/>
  <c r="F3" i="3"/>
  <c r="F12" i="3"/>
  <c r="D59" i="3"/>
  <c r="D3" i="3"/>
  <c r="F28" i="3"/>
  <c r="L48" i="1"/>
  <c r="B30" i="1"/>
  <c r="G9" i="1"/>
  <c r="K21" i="1"/>
  <c r="D21" i="1"/>
  <c r="K60" i="1"/>
  <c r="B12" i="1"/>
  <c r="J47" i="1"/>
  <c r="G59" i="1"/>
  <c r="K31" i="1"/>
  <c r="I5" i="1"/>
  <c r="E8" i="1"/>
  <c r="J18" i="1"/>
  <c r="G8" i="1"/>
  <c r="D56" i="1"/>
  <c r="G3" i="1"/>
  <c r="E32" i="1"/>
  <c r="B42" i="1"/>
  <c r="B3" i="1"/>
  <c r="B14" i="1"/>
  <c r="D7" i="1"/>
  <c r="H50" i="1"/>
  <c r="D50" i="1"/>
  <c r="I23" i="1"/>
  <c r="J41" i="1"/>
  <c r="E44" i="1"/>
  <c r="H51" i="1"/>
  <c r="B49" i="1"/>
  <c r="B61" i="1"/>
  <c r="G39" i="1"/>
  <c r="I49" i="1"/>
  <c r="H39" i="1"/>
  <c r="D58" i="3"/>
  <c r="F8" i="3"/>
  <c r="D14" i="3"/>
  <c r="F5" i="3"/>
  <c r="F36" i="3"/>
  <c r="F25" i="3"/>
  <c r="B46" i="1"/>
  <c r="L45" i="1"/>
  <c r="G48" i="1"/>
  <c r="I30" i="1"/>
  <c r="E13" i="1"/>
  <c r="L58" i="1"/>
  <c r="K12" i="1"/>
  <c r="I63" i="1"/>
  <c r="F66" i="1"/>
  <c r="B63" i="1"/>
  <c r="E40" i="1"/>
  <c r="I15" i="1"/>
  <c r="D15" i="1"/>
  <c r="G40" i="1"/>
  <c r="L5" i="1"/>
  <c r="K3" i="1"/>
  <c r="D14" i="1"/>
  <c r="E3" i="1"/>
  <c r="B32" i="1"/>
  <c r="D28" i="1"/>
  <c r="H33" i="1"/>
  <c r="I41" i="1"/>
  <c r="E41" i="1"/>
  <c r="H52" i="1"/>
  <c r="E50" i="1"/>
  <c r="K51" i="1"/>
  <c r="L44" i="1"/>
  <c r="F55" i="1"/>
  <c r="D19" i="1"/>
  <c r="E61" i="1"/>
  <c r="G27" i="1"/>
  <c r="H16" i="1"/>
  <c r="D16" i="3"/>
  <c r="F14" i="3"/>
  <c r="D61" i="3"/>
  <c r="F38" i="3"/>
  <c r="F35" i="3"/>
  <c r="F9" i="3"/>
  <c r="B51" i="1"/>
  <c r="L62" i="1"/>
  <c r="F39" i="1"/>
  <c r="D34" i="3"/>
  <c r="B48" i="1"/>
  <c r="K6" i="1"/>
  <c r="F16" i="1"/>
  <c r="D7" i="3"/>
  <c r="F18" i="3"/>
  <c r="D45" i="1"/>
  <c r="F31" i="1"/>
  <c r="K18" i="1"/>
  <c r="B15" i="1"/>
  <c r="F7" i="1"/>
  <c r="H29" i="1"/>
  <c r="H49" i="1"/>
  <c r="F24" i="3"/>
  <c r="E18" i="1"/>
  <c r="G22" i="1"/>
  <c r="I57" i="1"/>
  <c r="F23" i="1"/>
  <c r="G16" i="1"/>
  <c r="D18" i="3"/>
  <c r="I45" i="1"/>
  <c r="D5" i="1"/>
  <c r="F3" i="1"/>
  <c r="F62" i="3"/>
  <c r="K59" i="1"/>
  <c r="L32" i="1"/>
  <c r="J57" i="1"/>
  <c r="K39" i="1"/>
  <c r="F16" i="3"/>
  <c r="F34" i="3"/>
  <c r="J30" i="1"/>
  <c r="H34" i="1"/>
  <c r="D55" i="3"/>
  <c r="H21" i="1"/>
  <c r="B38" i="1"/>
  <c r="A3" i="3" l="1"/>
  <c r="A51" i="3"/>
  <c r="A5" i="3"/>
  <c r="A48" i="3"/>
  <c r="A16" i="3"/>
  <c r="A6" i="3"/>
  <c r="A54" i="3"/>
  <c r="A30" i="3"/>
  <c r="A59" i="3"/>
  <c r="A64" i="3"/>
  <c r="A63" i="3"/>
  <c r="A31" i="3"/>
  <c r="A37" i="3"/>
  <c r="A24" i="3"/>
  <c r="A22" i="3"/>
  <c r="A36" i="3"/>
  <c r="A21" i="3"/>
  <c r="A4" i="3"/>
  <c r="A35" i="3"/>
  <c r="A15" i="3"/>
  <c r="A46" i="3"/>
  <c r="A44" i="3"/>
  <c r="A10" i="3"/>
  <c r="A42" i="3"/>
  <c r="A28" i="3"/>
  <c r="A56" i="3"/>
  <c r="A7" i="3"/>
  <c r="A47" i="3"/>
  <c r="A40" i="3"/>
  <c r="A23" i="3"/>
  <c r="A17" i="3"/>
  <c r="A9" i="3"/>
  <c r="A39" i="3"/>
  <c r="A19" i="3"/>
  <c r="A29" i="3"/>
  <c r="A12" i="3"/>
  <c r="A41" i="3"/>
  <c r="A14" i="3"/>
  <c r="A27" i="3"/>
  <c r="A20" i="3"/>
  <c r="A32" i="3"/>
  <c r="A2" i="3"/>
  <c r="A53" i="3"/>
  <c r="A33" i="3"/>
  <c r="A61" i="3"/>
  <c r="A34" i="3"/>
  <c r="A49" i="3"/>
  <c r="A8" i="3"/>
  <c r="A55" i="3"/>
  <c r="A13" i="3"/>
  <c r="A60" i="3"/>
  <c r="A38" i="3"/>
  <c r="A62" i="3"/>
  <c r="A58" i="3"/>
  <c r="A43" i="3"/>
  <c r="A26" i="3"/>
  <c r="A50" i="3"/>
  <c r="A52" i="3"/>
  <c r="A57" i="3"/>
  <c r="A11" i="3"/>
  <c r="A18" i="3"/>
  <c r="A25" i="3"/>
  <c r="A45" i="3"/>
</calcChain>
</file>

<file path=xl/sharedStrings.xml><?xml version="1.0" encoding="utf-8"?>
<sst xmlns="http://schemas.openxmlformats.org/spreadsheetml/2006/main" count="1276" uniqueCount="696">
  <si>
    <t>RG317</t>
  </si>
  <si>
    <t>RA128</t>
  </si>
  <si>
    <t>RA404</t>
  </si>
  <si>
    <t>RA123</t>
  </si>
  <si>
    <t>RA126</t>
  </si>
  <si>
    <t>RA401</t>
  </si>
  <si>
    <t>1310Z AR Equity</t>
  </si>
  <si>
    <t>MOODY'S</t>
  </si>
  <si>
    <t>S&amp;P</t>
  </si>
  <si>
    <t>RA935</t>
  </si>
  <si>
    <t>RA272</t>
  </si>
  <si>
    <t>RA426</t>
  </si>
  <si>
    <t>FITCH</t>
  </si>
  <si>
    <t>3343879Z BI Equity</t>
  </si>
  <si>
    <t>ARG</t>
  </si>
  <si>
    <t>BAH</t>
  </si>
  <si>
    <t>DS497</t>
  </si>
  <si>
    <t>32272Z AX Equity</t>
  </si>
  <si>
    <t>ANG</t>
  </si>
  <si>
    <t>1088Z AZ Equity</t>
  </si>
  <si>
    <t>AZE</t>
  </si>
  <si>
    <t>BOL</t>
  </si>
  <si>
    <t>BRZ</t>
  </si>
  <si>
    <t>CHL</t>
  </si>
  <si>
    <t>CHI</t>
  </si>
  <si>
    <t>COL</t>
  </si>
  <si>
    <t>DR</t>
  </si>
  <si>
    <t>ECU</t>
  </si>
  <si>
    <t>EGY</t>
  </si>
  <si>
    <t>ARM</t>
  </si>
  <si>
    <t>GAB</t>
  </si>
  <si>
    <t>GHA</t>
  </si>
  <si>
    <t>GUA</t>
  </si>
  <si>
    <t>HON</t>
  </si>
  <si>
    <t>HUN</t>
  </si>
  <si>
    <t>IND</t>
  </si>
  <si>
    <t>IVY</t>
  </si>
  <si>
    <t>JAM</t>
  </si>
  <si>
    <t>JOR</t>
  </si>
  <si>
    <t>KAZ</t>
  </si>
  <si>
    <t>KEN</t>
  </si>
  <si>
    <t>LEB</t>
  </si>
  <si>
    <t>MEX</t>
  </si>
  <si>
    <t>MON</t>
  </si>
  <si>
    <t>MOR</t>
  </si>
  <si>
    <t>NIG</t>
  </si>
  <si>
    <t>OMA</t>
  </si>
  <si>
    <t>PAK</t>
  </si>
  <si>
    <t>PAN</t>
  </si>
  <si>
    <t>PAR</t>
  </si>
  <si>
    <t>PER</t>
  </si>
  <si>
    <t>PHI</t>
  </si>
  <si>
    <t>POL</t>
  </si>
  <si>
    <t>ROM</t>
  </si>
  <si>
    <t>KSA</t>
  </si>
  <si>
    <t>SEN</t>
  </si>
  <si>
    <t>SER</t>
  </si>
  <si>
    <t>SAF</t>
  </si>
  <si>
    <t>SRL</t>
  </si>
  <si>
    <t>TUR</t>
  </si>
  <si>
    <t>UKR</t>
  </si>
  <si>
    <t>URU</t>
  </si>
  <si>
    <t>VEN</t>
  </si>
  <si>
    <t>ZAM</t>
  </si>
  <si>
    <t>32672Z US Equity</t>
  </si>
  <si>
    <t>1003Z VB Equity</t>
  </si>
  <si>
    <t>1323Z BZ Equity</t>
  </si>
  <si>
    <t>45793z ci equity</t>
  </si>
  <si>
    <t>prch ch equity</t>
  </si>
  <si>
    <t>1153z cb equity</t>
  </si>
  <si>
    <t>172385z cr equity</t>
  </si>
  <si>
    <t>7867z us equity</t>
  </si>
  <si>
    <t>172377z ed equity</t>
  </si>
  <si>
    <t>1083z ey equity</t>
  </si>
  <si>
    <t>0365698z el equity</t>
  </si>
  <si>
    <t>1001z zg equity</t>
  </si>
  <si>
    <t>1084z gn equity</t>
  </si>
  <si>
    <t>25822z gl equity</t>
  </si>
  <si>
    <t>3926z us equity</t>
  </si>
  <si>
    <t>1182z hb equity</t>
  </si>
  <si>
    <t>1504z in equity</t>
  </si>
  <si>
    <t>1133z ij equity</t>
  </si>
  <si>
    <t>49815z ia equity</t>
  </si>
  <si>
    <t>1084z ja equity</t>
  </si>
  <si>
    <t>1001z jr equity</t>
  </si>
  <si>
    <t>56820z kz equity</t>
  </si>
  <si>
    <t>1001z kn equity</t>
  </si>
  <si>
    <t>1007z lb equity</t>
  </si>
  <si>
    <t>1124z mk equity</t>
  </si>
  <si>
    <t>1426z mm equity</t>
  </si>
  <si>
    <t>MAL</t>
  </si>
  <si>
    <t>17211z mo equity</t>
  </si>
  <si>
    <t>1096z mc equity</t>
  </si>
  <si>
    <t>1119z nl equity</t>
  </si>
  <si>
    <t>3080511z om equity</t>
  </si>
  <si>
    <t>1106z pa equity</t>
  </si>
  <si>
    <t>3344634z pp equity</t>
  </si>
  <si>
    <t>4481z pn equity</t>
  </si>
  <si>
    <t>1131z pe equity</t>
  </si>
  <si>
    <t>279379z pm equity</t>
  </si>
  <si>
    <t>1084z pw equity</t>
  </si>
  <si>
    <t>1089z ro equity</t>
  </si>
  <si>
    <t>3344642z ab equity</t>
  </si>
  <si>
    <t>26376z zs equity</t>
  </si>
  <si>
    <t>830031z sg equity</t>
  </si>
  <si>
    <t>50184z sj equity</t>
  </si>
  <si>
    <t>1005z sl equity</t>
  </si>
  <si>
    <t>114144z ti equity</t>
  </si>
  <si>
    <t>1089z uz equity</t>
  </si>
  <si>
    <t>172369z uy equity</t>
  </si>
  <si>
    <t>1069z vc equity</t>
  </si>
  <si>
    <t>1083z zl equity</t>
  </si>
  <si>
    <t>AAA</t>
  </si>
  <si>
    <t>AA+</t>
  </si>
  <si>
    <t>AA-</t>
  </si>
  <si>
    <t>A+</t>
  </si>
  <si>
    <t>A</t>
  </si>
  <si>
    <t>A-</t>
  </si>
  <si>
    <t>BBB+</t>
  </si>
  <si>
    <t>BBB-</t>
  </si>
  <si>
    <t>BB+</t>
  </si>
  <si>
    <t>BB-</t>
  </si>
  <si>
    <t>B+</t>
  </si>
  <si>
    <t>B</t>
  </si>
  <si>
    <t>B-</t>
  </si>
  <si>
    <t>CCC+</t>
  </si>
  <si>
    <t>CCC-</t>
  </si>
  <si>
    <t>Aaa</t>
  </si>
  <si>
    <t>Aa1</t>
  </si>
  <si>
    <t>A1</t>
  </si>
  <si>
    <t>B1</t>
  </si>
  <si>
    <t>Aa3</t>
  </si>
  <si>
    <t>Aa2</t>
  </si>
  <si>
    <t>A2</t>
  </si>
  <si>
    <t>A3</t>
  </si>
  <si>
    <t>Baa1</t>
  </si>
  <si>
    <t>Baa2</t>
  </si>
  <si>
    <t>Baa3</t>
  </si>
  <si>
    <t>Ba1</t>
  </si>
  <si>
    <t>Ba2</t>
  </si>
  <si>
    <t>Ba3</t>
  </si>
  <si>
    <t>B2</t>
  </si>
  <si>
    <t>B3</t>
  </si>
  <si>
    <t>Caa1</t>
  </si>
  <si>
    <t>Caa2</t>
  </si>
  <si>
    <t>Caa3</t>
  </si>
  <si>
    <t>Ca</t>
  </si>
  <si>
    <t>BB</t>
  </si>
  <si>
    <t>BBB</t>
  </si>
  <si>
    <t>CCC</t>
  </si>
  <si>
    <t>Argentina</t>
  </si>
  <si>
    <t>Barbados</t>
  </si>
  <si>
    <t>Bolivia</t>
  </si>
  <si>
    <t>Brazil</t>
  </si>
  <si>
    <t>Chile</t>
  </si>
  <si>
    <t>Colombia</t>
  </si>
  <si>
    <t>Costa Rica</t>
  </si>
  <si>
    <t>Ecuador</t>
  </si>
  <si>
    <t>El Salvador</t>
  </si>
  <si>
    <t>Guatemala</t>
  </si>
  <si>
    <t>Honduras</t>
  </si>
  <si>
    <t>Jamaica</t>
  </si>
  <si>
    <t>Mexico</t>
  </si>
  <si>
    <t>Panama</t>
  </si>
  <si>
    <t>Paraguay</t>
  </si>
  <si>
    <t>Peru</t>
  </si>
  <si>
    <t>Suriname</t>
  </si>
  <si>
    <t>Uruguay</t>
  </si>
  <si>
    <t>Venezuela</t>
  </si>
  <si>
    <t>China</t>
  </si>
  <si>
    <t>India</t>
  </si>
  <si>
    <t>Indonesia</t>
  </si>
  <si>
    <t>Malaysia</t>
  </si>
  <si>
    <t>Mongolia</t>
  </si>
  <si>
    <t>Pakistan</t>
  </si>
  <si>
    <t>Philippines</t>
  </si>
  <si>
    <t>Sri Lanka</t>
  </si>
  <si>
    <t>Iraq</t>
  </si>
  <si>
    <t>Jordan</t>
  </si>
  <si>
    <t>Lebanon</t>
  </si>
  <si>
    <t>Oman</t>
  </si>
  <si>
    <t>UAE</t>
  </si>
  <si>
    <t>Bahrain</t>
  </si>
  <si>
    <t>Saudi Arabia</t>
  </si>
  <si>
    <t>Armenia</t>
  </si>
  <si>
    <t>Azerbaijan</t>
  </si>
  <si>
    <t>Georgia</t>
  </si>
  <si>
    <t>Hungary</t>
  </si>
  <si>
    <t>Kazakhstan</t>
  </si>
  <si>
    <t>Poland</t>
  </si>
  <si>
    <t>Romania</t>
  </si>
  <si>
    <t>Serbia</t>
  </si>
  <si>
    <t>Turkey</t>
  </si>
  <si>
    <t>Ukraine</t>
  </si>
  <si>
    <t>Uzbekistan</t>
  </si>
  <si>
    <t>Angola</t>
  </si>
  <si>
    <t>Benin</t>
  </si>
  <si>
    <t>Egypt</t>
  </si>
  <si>
    <t>Ethiopia</t>
  </si>
  <si>
    <t>Gabon</t>
  </si>
  <si>
    <t>Ghana</t>
  </si>
  <si>
    <t>Ivory Coast</t>
  </si>
  <si>
    <t>Kenya</t>
  </si>
  <si>
    <t>Morocco</t>
  </si>
  <si>
    <t>Mozambique</t>
  </si>
  <si>
    <t>Nigeria</t>
  </si>
  <si>
    <t>Rwanda</t>
  </si>
  <si>
    <t>South Africa</t>
  </si>
  <si>
    <t>Zambia</t>
  </si>
  <si>
    <t>JPBYARZS Index</t>
  </si>
  <si>
    <t>JPBYBOZS Index</t>
  </si>
  <si>
    <t>JPBYBRZS Index</t>
  </si>
  <si>
    <t>PX_LAST</t>
  </si>
  <si>
    <t>JPBYCHZS Index</t>
  </si>
  <si>
    <t>JPBYECZS Index</t>
  </si>
  <si>
    <t>JPBYPAZS Index</t>
  </si>
  <si>
    <t>JPBYPEZS Index</t>
  </si>
  <si>
    <t>JPBYTRZS Index</t>
  </si>
  <si>
    <t>JPBYINZS Index</t>
  </si>
  <si>
    <t>JPBYMAZS Index</t>
  </si>
  <si>
    <t>JPBYMOZS Index</t>
  </si>
  <si>
    <t>JPBYPHZS Index</t>
  </si>
  <si>
    <t>JPBYJOZS Index</t>
  </si>
  <si>
    <t>JPBYLEZS Index</t>
  </si>
  <si>
    <t>JPBYSAZS Index</t>
  </si>
  <si>
    <t>JPBYAZZS Index</t>
  </si>
  <si>
    <t>JPBYGEZS Index</t>
  </si>
  <si>
    <t>JPBYPOZS Index</t>
  </si>
  <si>
    <t>JPBYROZS Index</t>
  </si>
  <si>
    <t>JPBYUKZS Index</t>
  </si>
  <si>
    <t>JPBYEGZS Index</t>
  </si>
  <si>
    <t>JPBYETZS Index</t>
  </si>
  <si>
    <t>JPBYGAZS Index</t>
  </si>
  <si>
    <t>JPBYGHZS Index</t>
  </si>
  <si>
    <t>JPBYCLZS Index</t>
  </si>
  <si>
    <t>JPBYCTZS Index</t>
  </si>
  <si>
    <t>JPBYCSZS Index</t>
  </si>
  <si>
    <t>JPBYCNZS Index</t>
  </si>
  <si>
    <t>JPBYDRZS Index</t>
  </si>
  <si>
    <t>JPBYESZS Index</t>
  </si>
  <si>
    <t>JPBYGTZS Index</t>
  </si>
  <si>
    <t>JPBYHDZS Index</t>
  </si>
  <si>
    <t>JPBYJMZS Index</t>
  </si>
  <si>
    <t>JPBYMXZS Index</t>
  </si>
  <si>
    <t>JPBYPNZS Index</t>
  </si>
  <si>
    <t>JPBYPYZS Index</t>
  </si>
  <si>
    <t>JPBYTTZS Index</t>
  </si>
  <si>
    <t>JPBYIDZS Index</t>
  </si>
  <si>
    <t>JPBYIQZS Index</t>
  </si>
  <si>
    <t>JPBYHNZS Index</t>
  </si>
  <si>
    <t>JPBYKZZS Index</t>
  </si>
  <si>
    <t>JPBYAOZS Index</t>
  </si>
  <si>
    <t>JPBYLKZS Index</t>
  </si>
  <si>
    <t>JPGCSRSL index</t>
  </si>
  <si>
    <t>JPBYURZS index</t>
  </si>
  <si>
    <t>JPBYVEZS Index</t>
  </si>
  <si>
    <t>JPBYMNZS index</t>
  </si>
  <si>
    <t>JPGCPGSL Index</t>
  </si>
  <si>
    <t>JPGCOMSL Index</t>
  </si>
  <si>
    <t>JPGCAESL Index</t>
  </si>
  <si>
    <t>JPGCBHSL Index</t>
  </si>
  <si>
    <t>JPGCSASL Index</t>
  </si>
  <si>
    <t>JPGCAMZS Index</t>
  </si>
  <si>
    <t>JPBYKEZS Index</t>
  </si>
  <si>
    <t>JPBYNIZS Index</t>
  </si>
  <si>
    <t>JPBYCDZS index</t>
  </si>
  <si>
    <t>Cameroon</t>
  </si>
  <si>
    <t>JPGCCMZS Index</t>
  </si>
  <si>
    <t>JPGCMZZS Index</t>
  </si>
  <si>
    <t>JPBYZMZS Index</t>
  </si>
  <si>
    <t>JPGCBJZS Index</t>
  </si>
  <si>
    <t>JPGCRWMW Index</t>
  </si>
  <si>
    <t>JPGCBBZS index</t>
  </si>
  <si>
    <t>CR</t>
  </si>
  <si>
    <t>ESV</t>
  </si>
  <si>
    <t>BAR</t>
  </si>
  <si>
    <t>SUR</t>
  </si>
  <si>
    <t>PAP</t>
  </si>
  <si>
    <t>GEO</t>
  </si>
  <si>
    <t>UZB</t>
  </si>
  <si>
    <t>BEN</t>
  </si>
  <si>
    <t>CAM</t>
  </si>
  <si>
    <t>ETH</t>
  </si>
  <si>
    <t>Dominican Repb.</t>
  </si>
  <si>
    <t>3343887Z BA Equity</t>
  </si>
  <si>
    <t>17024Z US Equity</t>
  </si>
  <si>
    <t>3239646Z TP Equity</t>
  </si>
  <si>
    <t>Trinidad and To</t>
  </si>
  <si>
    <t>T&amp;T</t>
  </si>
  <si>
    <t>1412Z PB Equity</t>
  </si>
  <si>
    <t>Papua N.Guinea</t>
  </si>
  <si>
    <t>15315Z US Equity</t>
  </si>
  <si>
    <t>IRQ</t>
  </si>
  <si>
    <t>3344698Z UH Equity</t>
  </si>
  <si>
    <t>AA</t>
  </si>
  <si>
    <t>3352121Z GG Equity</t>
  </si>
  <si>
    <t>32673Z US Equity</t>
  </si>
  <si>
    <t>32682Z US Equity</t>
  </si>
  <si>
    <t>32675Z DE Equity</t>
  </si>
  <si>
    <t>32679Z US Equity</t>
  </si>
  <si>
    <t>1001Z MZ Equity</t>
  </si>
  <si>
    <t>MOZ</t>
  </si>
  <si>
    <t>32674Z RW Equity</t>
  </si>
  <si>
    <t>RWA</t>
  </si>
  <si>
    <t>IDO</t>
  </si>
  <si>
    <t>JPGCARCY Index</t>
  </si>
  <si>
    <t>PX LAST</t>
  </si>
  <si>
    <t>JPGCBOCY Index</t>
  </si>
  <si>
    <t>JPGCBZCY Index</t>
  </si>
  <si>
    <t>JPGCCHCY Index</t>
  </si>
  <si>
    <t>JPGCCOCY Index</t>
  </si>
  <si>
    <t>JPGCCTCY Index</t>
  </si>
  <si>
    <t>JPGCDOCY Index</t>
  </si>
  <si>
    <t>JPGCECCY Index</t>
  </si>
  <si>
    <t>JPGCSVCY Index</t>
  </si>
  <si>
    <t>JPGCGTCY Index</t>
  </si>
  <si>
    <t>JPGCHNCY Index</t>
  </si>
  <si>
    <t>JPGCJMCY Index</t>
  </si>
  <si>
    <t>JPGCMXCY Index</t>
  </si>
  <si>
    <t>JPGCPNCY Index</t>
  </si>
  <si>
    <t>JPGCPYCY Index</t>
  </si>
  <si>
    <t>JPGCPRCY Index</t>
  </si>
  <si>
    <t>JPGCSRCY Index</t>
  </si>
  <si>
    <t>JPGCTTCY Index</t>
  </si>
  <si>
    <t>JPGCURCY Index</t>
  </si>
  <si>
    <t>JPGCVNCY index</t>
  </si>
  <si>
    <t>JPGCAMCY Index</t>
  </si>
  <si>
    <t>JPGCAZCY Index</t>
  </si>
  <si>
    <t>JPGCGECY Index</t>
  </si>
  <si>
    <t>JPGCHUCY Index</t>
  </si>
  <si>
    <t>JPGCKZCY INDEX</t>
  </si>
  <si>
    <t>JPGCPLCY Index</t>
  </si>
  <si>
    <t>JPGCROCY Index</t>
  </si>
  <si>
    <t>JPGCCSCY Index</t>
  </si>
  <si>
    <t>JPGCTUCY Index</t>
  </si>
  <si>
    <t>JPGCUACY Index</t>
  </si>
  <si>
    <t>JPGCIQCY Index</t>
  </si>
  <si>
    <t>JPGCJOCY Index</t>
  </si>
  <si>
    <t>JPGCLECY Index</t>
  </si>
  <si>
    <t>JPGCOMCY Index</t>
  </si>
  <si>
    <t>JPGCAOCY Index</t>
  </si>
  <si>
    <t>JPGCCDCY Index</t>
  </si>
  <si>
    <t>JPGCCMCY Index</t>
  </si>
  <si>
    <t>JPGCEGCY Index</t>
  </si>
  <si>
    <t>JPGCETCY Index</t>
  </si>
  <si>
    <t>JPGCGACY Index</t>
  </si>
  <si>
    <t>JPGCGHCY Index</t>
  </si>
  <si>
    <t>JPGCKECY Index</t>
  </si>
  <si>
    <t>JPGCORCY Index</t>
  </si>
  <si>
    <t>JPGCMZCY Index</t>
  </si>
  <si>
    <t>JPGCNGCY Index</t>
  </si>
  <si>
    <t>JPGCSACY Index</t>
  </si>
  <si>
    <t>JPGCZMCY Index</t>
  </si>
  <si>
    <t>JPGCAECY Index</t>
  </si>
  <si>
    <t>JPGCBHCY Index</t>
  </si>
  <si>
    <t>JPGCSBCY Index</t>
  </si>
  <si>
    <t>JPGCCNCY index</t>
  </si>
  <si>
    <t>JPGCINCY index</t>
  </si>
  <si>
    <t>JPGCIDCY index</t>
  </si>
  <si>
    <t>JPGCMACY index</t>
  </si>
  <si>
    <t>JPGCMNCY index</t>
  </si>
  <si>
    <t>JPGCPKCY index</t>
  </si>
  <si>
    <t>JPGCPGCY index</t>
  </si>
  <si>
    <t>JPGCPHCY index</t>
  </si>
  <si>
    <t>JPGCLKCY index</t>
  </si>
  <si>
    <t>JPGCBBCY Index</t>
  </si>
  <si>
    <t>JPGCUZCY Index</t>
  </si>
  <si>
    <t>JPGCBJYD Index</t>
  </si>
  <si>
    <t>JPGCRWYW Index</t>
  </si>
  <si>
    <t>sp</t>
  </si>
  <si>
    <t>moodys</t>
  </si>
  <si>
    <t>num_score</t>
  </si>
  <si>
    <t>LEBANON</t>
  </si>
  <si>
    <t>C</t>
  </si>
  <si>
    <t>STABLE</t>
  </si>
  <si>
    <t>12/13/2023</t>
  </si>
  <si>
    <t>SD</t>
  </si>
  <si>
    <t>2/13/2026</t>
  </si>
  <si>
    <t>WD</t>
  </si>
  <si>
    <t>#N/A N/A</t>
  </si>
  <si>
    <t>VENEZUELA</t>
  </si>
  <si>
    <t>WR</t>
  </si>
  <si>
    <t>3/9/2018</t>
  </si>
  <si>
    <t>NR</t>
  </si>
  <si>
    <t>10/5/2021</t>
  </si>
  <si>
    <t>6/17/2025</t>
  </si>
  <si>
    <t>9/30/2021</t>
  </si>
  <si>
    <t>IG</t>
  </si>
  <si>
    <t>SAUDI ARABIA</t>
  </si>
  <si>
    <t>11/22/2024</t>
  </si>
  <si>
    <t>A+u</t>
  </si>
  <si>
    <t>3/14/2025</t>
  </si>
  <si>
    <t>4/5/2023</t>
  </si>
  <si>
    <t>CHINA</t>
  </si>
  <si>
    <t>4/27/2026</t>
  </si>
  <si>
    <t>9/21/2018</t>
  </si>
  <si>
    <t>Au</t>
  </si>
  <si>
    <t>4/3/2025</t>
  </si>
  <si>
    <t>CHILE</t>
  </si>
  <si>
    <t>9/15/2022</t>
  </si>
  <si>
    <t>10/15/2024</t>
  </si>
  <si>
    <t>10/15/2020</t>
  </si>
  <si>
    <t>POLAND</t>
  </si>
  <si>
    <t>NEG</t>
  </si>
  <si>
    <t>9/19/2025</t>
  </si>
  <si>
    <t>10/12/2018</t>
  </si>
  <si>
    <t>9/5/2025</t>
  </si>
  <si>
    <t>MALAYSIA</t>
  </si>
  <si>
    <t>1/11/2016</t>
  </si>
  <si>
    <t>6/27/2022</t>
  </si>
  <si>
    <t>12/4/2020</t>
  </si>
  <si>
    <t>URUGUAY</t>
  </si>
  <si>
    <t>3/15/2024</t>
  </si>
  <si>
    <t>4/26/2023</t>
  </si>
  <si>
    <t>6/7/2023</t>
  </si>
  <si>
    <t>PHILIPPINES</t>
  </si>
  <si>
    <t>8/23/2024</t>
  </si>
  <si>
    <t>4/8/2026</t>
  </si>
  <si>
    <t>4/20/2026</t>
  </si>
  <si>
    <t>INDONESIA</t>
  </si>
  <si>
    <t>2/5/2026</t>
  </si>
  <si>
    <t>4/27/2022</t>
  </si>
  <si>
    <t>3/4/2026</t>
  </si>
  <si>
    <t>KAZAKHSTAN</t>
  </si>
  <si>
    <t>9/9/2024</t>
  </si>
  <si>
    <t>POS</t>
  </si>
  <si>
    <t>8/22/2025</t>
  </si>
  <si>
    <t>4/29/2016</t>
  </si>
  <si>
    <t>PERU</t>
  </si>
  <si>
    <t>9/20/2024</t>
  </si>
  <si>
    <t>4/25/2024</t>
  </si>
  <si>
    <t>11/5/2024</t>
  </si>
  <si>
    <t>HUNGARY</t>
  </si>
  <si>
    <t>11/29/2024</t>
  </si>
  <si>
    <t>4/11/2025</t>
  </si>
  <si>
    <t>12/5/2025</t>
  </si>
  <si>
    <t>INDIA</t>
  </si>
  <si>
    <t>BBBu</t>
  </si>
  <si>
    <t>8/14/2025</t>
  </si>
  <si>
    <t>BBB-u</t>
  </si>
  <si>
    <t>6/10/2022</t>
  </si>
  <si>
    <t>MEXICO</t>
  </si>
  <si>
    <t>6/11/2026</t>
  </si>
  <si>
    <t>5/12/2026</t>
  </si>
  <si>
    <t>4/15/2020</t>
  </si>
  <si>
    <t>AZERBAIJAN</t>
  </si>
  <si>
    <t>7/4/2025</t>
  </si>
  <si>
    <t>6/13/2025</t>
  </si>
  <si>
    <t>OMAN</t>
  </si>
  <si>
    <t>7/10/2025</t>
  </si>
  <si>
    <t>9/27/2024</t>
  </si>
  <si>
    <t>12/8/2025</t>
  </si>
  <si>
    <t>ROMANIA</t>
  </si>
  <si>
    <t>1/24/2025</t>
  </si>
  <si>
    <t>12/17/2024</t>
  </si>
  <si>
    <t>PANAMA</t>
  </si>
  <si>
    <t>11/26/2024</t>
  </si>
  <si>
    <t>3/28/2024</t>
  </si>
  <si>
    <t>HY</t>
  </si>
  <si>
    <t>PARAGUAY</t>
  </si>
  <si>
    <t>7/26/2024</t>
  </si>
  <si>
    <t>12/17/2025</t>
  </si>
  <si>
    <t>10/6/2025</t>
  </si>
  <si>
    <t>MOROCCO</t>
  </si>
  <si>
    <t>3/6/2026</t>
  </si>
  <si>
    <t>9/26/2025</t>
  </si>
  <si>
    <t>BB+u</t>
  </si>
  <si>
    <t>10/23/2020</t>
  </si>
  <si>
    <t>GUATEMALA</t>
  </si>
  <si>
    <t>6/15/2022</t>
  </si>
  <si>
    <t>5/23/2025</t>
  </si>
  <si>
    <t>10/14/2025</t>
  </si>
  <si>
    <t>2/27/2026</t>
  </si>
  <si>
    <t>10/4/2024</t>
  </si>
  <si>
    <t>8/9/2024</t>
  </si>
  <si>
    <t>TRINIDAD AND TO</t>
  </si>
  <si>
    <t>6/12/2026</t>
  </si>
  <si>
    <t>9/25/2025</t>
  </si>
  <si>
    <t>BRAZIL</t>
  </si>
  <si>
    <t>5/30/2025</t>
  </si>
  <si>
    <t>12/19/2023</t>
  </si>
  <si>
    <t>7/26/2023</t>
  </si>
  <si>
    <t>COLOMBIA</t>
  </si>
  <si>
    <t>6/26/2025</t>
  </si>
  <si>
    <t>12/16/2025</t>
  </si>
  <si>
    <t>COSTA RICA</t>
  </si>
  <si>
    <t>9/24/2025</t>
  </si>
  <si>
    <t>10/22/2025</t>
  </si>
  <si>
    <t>2/25/2025</t>
  </si>
  <si>
    <t>GEORGIA</t>
  </si>
  <si>
    <t>6/30/2026</t>
  </si>
  <si>
    <t>2/25/2022</t>
  </si>
  <si>
    <t>11/21/2025</t>
  </si>
  <si>
    <t>IVORY COAST</t>
  </si>
  <si>
    <t>3/1/2024</t>
  </si>
  <si>
    <t>10/18/2024</t>
  </si>
  <si>
    <t>12/12/2025</t>
  </si>
  <si>
    <t>SOUTH AFRICA</t>
  </si>
  <si>
    <t>5/22/2026</t>
  </si>
  <si>
    <t>11/14/2025</t>
  </si>
  <si>
    <t>6/5/2026</t>
  </si>
  <si>
    <t>UZBEKISTAN</t>
  </si>
  <si>
    <t>Ba2u</t>
  </si>
  <si>
    <t>6/25/2026</t>
  </si>
  <si>
    <t>6/3/2026</t>
  </si>
  <si>
    <t>DOMINICAN REPB.</t>
  </si>
  <si>
    <t>8/1/2025</t>
  </si>
  <si>
    <t>12/19/2022</t>
  </si>
  <si>
    <t>4/15/2026</t>
  </si>
  <si>
    <t>JAMAICA</t>
  </si>
  <si>
    <t>12/19/2025</t>
  </si>
  <si>
    <t>12/18/2025</t>
  </si>
  <si>
    <t>11/20/2025</t>
  </si>
  <si>
    <t>ARMENIA</t>
  </si>
  <si>
    <t>6/22/2023</t>
  </si>
  <si>
    <t>2/20/2026</t>
  </si>
  <si>
    <t>1/16/2026</t>
  </si>
  <si>
    <t>JORDAN</t>
  </si>
  <si>
    <t>5/9/2024</t>
  </si>
  <si>
    <t>9/6/2024</t>
  </si>
  <si>
    <t>12/7/2021</t>
  </si>
  <si>
    <t>TURKEY</t>
  </si>
  <si>
    <t>7/25/2025</t>
  </si>
  <si>
    <t>BB-u</t>
  </si>
  <si>
    <t>11/1/2024</t>
  </si>
  <si>
    <t>4/10/2026</t>
  </si>
  <si>
    <t>HONDURAS</t>
  </si>
  <si>
    <t>9/22/2017</t>
  </si>
  <si>
    <t>3/26/2026</t>
  </si>
  <si>
    <t>BENIN</t>
  </si>
  <si>
    <t>2/27/2025</t>
  </si>
  <si>
    <t>MONGOLIA</t>
  </si>
  <si>
    <t>10/16/2025</t>
  </si>
  <si>
    <t>10/30/2025</t>
  </si>
  <si>
    <t>9/18/2024</t>
  </si>
  <si>
    <t>BAHRAIN</t>
  </si>
  <si>
    <t>B2u</t>
  </si>
  <si>
    <t>4/18/2026</t>
  </si>
  <si>
    <t>2/23/2026</t>
  </si>
  <si>
    <t>BARBADOS</t>
  </si>
  <si>
    <t>4/14/2025</t>
  </si>
  <si>
    <t>10/24/2025</t>
  </si>
  <si>
    <t>10/9/2025</t>
  </si>
  <si>
    <t>RWANDA</t>
  </si>
  <si>
    <t>1/27/2023</t>
  </si>
  <si>
    <t>3/13/2026</t>
  </si>
  <si>
    <t>NIGERIA</t>
  </si>
  <si>
    <t>5/15/2026</t>
  </si>
  <si>
    <t>PAPUA N.GUINEA</t>
  </si>
  <si>
    <t>11/10/2022</t>
  </si>
  <si>
    <t>6/19/2026</t>
  </si>
  <si>
    <t>EGYPT</t>
  </si>
  <si>
    <t>3/7/2024</t>
  </si>
  <si>
    <t>10/10/2025</t>
  </si>
  <si>
    <t>KENYA</t>
  </si>
  <si>
    <t>B3u</t>
  </si>
  <si>
    <t>1/27/2026</t>
  </si>
  <si>
    <t>8/2/2024</t>
  </si>
  <si>
    <t>ANGOLA</t>
  </si>
  <si>
    <t>2/4/2022</t>
  </si>
  <si>
    <t>6/23/2023</t>
  </si>
  <si>
    <t>CAMEROON</t>
  </si>
  <si>
    <t>Caa1u</t>
  </si>
  <si>
    <t>7/27/2023</t>
  </si>
  <si>
    <t>3/22/2024</t>
  </si>
  <si>
    <t>11/17/2023</t>
  </si>
  <si>
    <t>EL SALVADOR</t>
  </si>
  <si>
    <t>2/6/2026</t>
  </si>
  <si>
    <t>11/7/2023</t>
  </si>
  <si>
    <t>1/7/2025</t>
  </si>
  <si>
    <t>GHANA</t>
  </si>
  <si>
    <t>11/7/2025</t>
  </si>
  <si>
    <t>5/8/2026</t>
  </si>
  <si>
    <t>ARGENTINA</t>
  </si>
  <si>
    <t>7/17/2025</t>
  </si>
  <si>
    <t>6/10/2026</t>
  </si>
  <si>
    <t>B-u</t>
  </si>
  <si>
    <t>5/5/2026</t>
  </si>
  <si>
    <t>ECUADOR</t>
  </si>
  <si>
    <t>1/26/2026</t>
  </si>
  <si>
    <t>8/20/2025</t>
  </si>
  <si>
    <t>2/25/2026</t>
  </si>
  <si>
    <t>IRAQ</t>
  </si>
  <si>
    <t>4/17/2026</t>
  </si>
  <si>
    <t>3/24/2021</t>
  </si>
  <si>
    <t>PAKISTAN</t>
  </si>
  <si>
    <t>8/13/2025</t>
  </si>
  <si>
    <t>7/24/2025</t>
  </si>
  <si>
    <t>4/15/2025</t>
  </si>
  <si>
    <t>SENEGAL</t>
  </si>
  <si>
    <t>3/27/2026</t>
  </si>
  <si>
    <t>SRI LANKA</t>
  </si>
  <si>
    <t>12/23/2024</t>
  </si>
  <si>
    <t>SURINAME</t>
  </si>
  <si>
    <t>10/23/2025</t>
  </si>
  <si>
    <t>12/6/2023</t>
  </si>
  <si>
    <t>11/28/2025</t>
  </si>
  <si>
    <t>BOLIVIA</t>
  </si>
  <si>
    <t>3/18/2026</t>
  </si>
  <si>
    <t>3/23/2026</t>
  </si>
  <si>
    <t>MOZAMBIQUE</t>
  </si>
  <si>
    <t>Caa2u</t>
  </si>
  <si>
    <t>3/28/2025</t>
  </si>
  <si>
    <t>CCu</t>
  </si>
  <si>
    <t>UKRAINE</t>
  </si>
  <si>
    <t>2/10/2023</t>
  </si>
  <si>
    <t>1/22/2026</t>
  </si>
  <si>
    <t>GABON</t>
  </si>
  <si>
    <t>6/24/2026</t>
  </si>
  <si>
    <t>ETHIOPIA</t>
  </si>
  <si>
    <t>9/15/2023</t>
  </si>
  <si>
    <t>RD</t>
  </si>
  <si>
    <t>country</t>
  </si>
  <si>
    <t>country_code</t>
  </si>
  <si>
    <t>moodys_rating</t>
  </si>
  <si>
    <t>moodys_outlook</t>
  </si>
  <si>
    <t>moodys_rat_date</t>
  </si>
  <si>
    <t>class</t>
  </si>
  <si>
    <t>sp_rating</t>
  </si>
  <si>
    <t>sp_outlook</t>
  </si>
  <si>
    <t>st_rat_date</t>
  </si>
  <si>
    <t>fit_rating</t>
  </si>
  <si>
    <t>fit_outlook</t>
  </si>
  <si>
    <t>fit_rat_date</t>
  </si>
  <si>
    <t>avg_rating</t>
  </si>
  <si>
    <t>z_spread</t>
  </si>
  <si>
    <t>CC+*</t>
  </si>
  <si>
    <t>CC</t>
  </si>
  <si>
    <t>fitch</t>
  </si>
  <si>
    <t>current_yield</t>
  </si>
  <si>
    <t>date</t>
  </si>
  <si>
    <t xml:space="preserve">Index </t>
  </si>
  <si>
    <t>NAME</t>
  </si>
  <si>
    <t>JPGCARPI Index</t>
  </si>
  <si>
    <t>JPGCBBPI Index</t>
  </si>
  <si>
    <t>JPGCBOPI Index</t>
  </si>
  <si>
    <t>JPGCBZPI Index</t>
  </si>
  <si>
    <t>JPGCCHPI Index</t>
  </si>
  <si>
    <t>JPGCCOPI Index</t>
  </si>
  <si>
    <t>JPGCCIPI Index</t>
  </si>
  <si>
    <t>JPGCDOPI Index</t>
  </si>
  <si>
    <t>JPGCECPI Index</t>
  </si>
  <si>
    <t>JPGCSVPI Index</t>
  </si>
  <si>
    <t>JPGCGTPI Index</t>
  </si>
  <si>
    <t>JPGCHNPI Index</t>
  </si>
  <si>
    <t>JPGCJMPI Index</t>
  </si>
  <si>
    <t>JPGCMXPI Index</t>
  </si>
  <si>
    <t>JPGCPNPI Index</t>
  </si>
  <si>
    <t>JPGCPYPI Index</t>
  </si>
  <si>
    <t>JPGCPRPI Index</t>
  </si>
  <si>
    <t>JPGCSRPI Index</t>
  </si>
  <si>
    <t>JPGCTTPI Index</t>
  </si>
  <si>
    <t>JPGCURPI Index</t>
  </si>
  <si>
    <t>JPGCVNPI Index</t>
  </si>
  <si>
    <t>JPGCCNPI Index</t>
  </si>
  <si>
    <t>JPGCINPI Index</t>
  </si>
  <si>
    <t>JPGCIDPI Index</t>
  </si>
  <si>
    <t>JPGCMAPI Index</t>
  </si>
  <si>
    <t>JPGCMNPI Index</t>
  </si>
  <si>
    <t>JPGCPKPI Index</t>
  </si>
  <si>
    <t>JPGCPGPI Index</t>
  </si>
  <si>
    <t>JPGCPHPI Index</t>
  </si>
  <si>
    <t>JPGCLKPI Index</t>
  </si>
  <si>
    <t>JPGCIQPI Index</t>
  </si>
  <si>
    <t>JPGCJOPI Index</t>
  </si>
  <si>
    <t>JPGCLEPI Index</t>
  </si>
  <si>
    <t>JPGCOMPI Index</t>
  </si>
  <si>
    <t>JPGCAEPI Index</t>
  </si>
  <si>
    <t>JPGCBHPI Index</t>
  </si>
  <si>
    <t>JPGCSBPI Index</t>
  </si>
  <si>
    <t>JPGCAMPI Index</t>
  </si>
  <si>
    <t>JPGCAZPI Index</t>
  </si>
  <si>
    <t>JPGCGEPI Index</t>
  </si>
  <si>
    <t>JPGCHUPI Index</t>
  </si>
  <si>
    <t>JPGCKZPI Index</t>
  </si>
  <si>
    <t>JPGCPLPI Index</t>
  </si>
  <si>
    <t>JPGCROPI Index</t>
  </si>
  <si>
    <t>JPGCCSPI Index</t>
  </si>
  <si>
    <t>JPGCTRPI Index</t>
  </si>
  <si>
    <t>JPGCUAPI Index</t>
  </si>
  <si>
    <t>JPGCUZPI Index</t>
  </si>
  <si>
    <t>JPGCAOPI Index</t>
  </si>
  <si>
    <t>JPGCBJPI Index</t>
  </si>
  <si>
    <t>JPGCCMPI Index</t>
  </si>
  <si>
    <t>JPGCEGPI Index</t>
  </si>
  <si>
    <t>JPGCETPI Index</t>
  </si>
  <si>
    <t>JPGCGAPI Index</t>
  </si>
  <si>
    <t>JPGCGHPI Index</t>
  </si>
  <si>
    <t>JPGCICPI Index</t>
  </si>
  <si>
    <t>JPGCKEPI Index</t>
  </si>
  <si>
    <t>JPGCORPI Index</t>
  </si>
  <si>
    <t>JPGCMZPI Index</t>
  </si>
  <si>
    <t>JPGCNGPI Index</t>
  </si>
  <si>
    <t>JPGCRWPI Index</t>
  </si>
  <si>
    <t>JPGCSAPI Index</t>
  </si>
  <si>
    <t>JPGCZMPI Index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</si>
</sst>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0.0"/>
    <numFmt numFmtId="165" formatCode="0.000"/>
    <numFmt numFmtId="166" formatCode="_(* #,##0.0_);_(* \(#,##0.0\);_(* &quot;-&quot;??_);_(@_)"/>
  </numFmts>
  <fonts count="3" x14ac:knownFonts="1">
    <font>
      <sz val="11"/>
      <color theme="1"/>
      <name val="Aptos Narrow"/>
      <family val="2"/>
      <scheme val="minor"/>
    </font>
    <font>
      <sz val="11"/>
      <name val="Arial"/>
      <family val="2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17">
    <xf numFmtId="0" fontId="0" fillId="0" borderId="0" xfId="0"/>
    <xf numFmtId="164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/>
    </xf>
    <xf numFmtId="0" fontId="0" fillId="0" borderId="0" xfId="0" applyAlignment="1">
      <alignment horizontal="right"/>
    </xf>
    <xf numFmtId="0" fontId="0" fillId="0" borderId="0" xfId="0" applyAlignment="1">
      <alignment wrapText="1"/>
    </xf>
    <xf numFmtId="164" fontId="0" fillId="0" borderId="0" xfId="0" applyNumberFormat="1" applyAlignment="1">
      <alignment wrapText="1"/>
    </xf>
    <xf numFmtId="1" fontId="0" fillId="0" borderId="0" xfId="0" applyNumberFormat="1" applyAlignment="1">
      <alignment wrapText="1"/>
    </xf>
    <xf numFmtId="165" fontId="0" fillId="0" borderId="0" xfId="0" applyNumberFormat="1"/>
    <xf numFmtId="1" fontId="0" fillId="0" borderId="0" xfId="0" applyNumberFormat="1" applyAlignment="1">
      <alignment horizontal="center"/>
    </xf>
    <xf numFmtId="0" fontId="1" fillId="0" borderId="0" xfId="0" applyFont="1"/>
    <xf numFmtId="1" fontId="1" fillId="0" borderId="0" xfId="0" applyNumberFormat="1" applyFont="1" applyAlignment="1">
      <alignment horizontal="center"/>
    </xf>
    <xf numFmtId="2" fontId="0" fillId="0" borderId="0" xfId="0" applyNumberFormat="1" applyAlignment="1">
      <alignment horizontal="center"/>
    </xf>
    <xf numFmtId="166" fontId="0" fillId="0" borderId="0" xfId="1" applyNumberFormat="1" applyFont="1" applyAlignment="1"/>
    <xf numFmtId="0" fontId="0" fillId="0" borderId="1" xfId="0" applyBorder="1" applyAlignment="1">
      <alignment horizontal="center" wrapText="1"/>
    </xf>
    <xf numFmtId="0" fontId="0" fillId="0" borderId="2" xfId="0" applyBorder="1" applyAlignment="1">
      <alignment horizontal="center" wrapText="1"/>
    </xf>
    <xf numFmtId="0" fontId="0" fillId="0" borderId="3" xfId="0" applyBorder="1" applyAlignment="1">
      <alignment horizontal="right" wrapText="1"/>
    </xf>
  </cellXfs>
  <cellStyles count="2">
    <cellStyle name="Comma" xfId="1" builtinId="3"/>
    <cellStyle name="Normal" xfId="0" builtinId="0"/>
  </cellStyles>
  <dxfs count="1">
    <dxf>
      <fill>
        <patternFill>
          <bgColor rgb="FFFFC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volatileDependencies.xml><?xml version="1.0" encoding="utf-8"?>
<volTypes xmlns="http://schemas.openxmlformats.org/spreadsheetml/2006/main">
  <volType type="realTimeData">
    <main first="bofaddin.rtdserver">
      <tp t="s">
        <v>#N/A Requesting Data...4212727747</v>
        <stp/>
        <stp>BDP|10528231488136627615</stp>
        <tr r="D59" s="8"/>
      </tp>
      <tp t="s">
        <v>#N/A Requesting Data...4183581784</v>
        <stp/>
        <stp>BDP|14508460801438947205</stp>
        <tr r="D36" s="1"/>
      </tp>
      <tp t="s">
        <v>#N/A Requesting Data...4240076499</v>
        <stp/>
        <stp>BDP|16239584857138703413</stp>
        <tr r="C28" s="8"/>
      </tp>
      <tp t="s">
        <v>#N/A Requesting Data...4266109064</v>
        <stp/>
        <stp>BDP|18208365217821119189</stp>
        <tr r="D22" s="1"/>
      </tp>
      <tp t="s">
        <v>#N/A Requesting Data...4206837053</v>
        <stp/>
        <stp>BDP|14124911889326322974</stp>
        <tr r="J22" s="1"/>
      </tp>
      <tp t="s">
        <v>#N/A Requesting Data...4269498083</v>
        <stp/>
        <stp>BDP|11377908129993615309</stp>
        <tr r="D47" s="1"/>
      </tp>
      <tp t="s">
        <v>#N/A Requesting Data...4189593798</v>
        <stp/>
        <stp>BDP|11814802564676199310</stp>
        <tr r="D19" s="8"/>
      </tp>
      <tp t="s">
        <v>#N/A Requesting Data...4248693462</v>
        <stp/>
        <stp>BDP|11479138269129347516</stp>
        <tr r="J39" s="1"/>
      </tp>
      <tp t="s">
        <v>#N/A Requesting Data...4225177215</v>
        <stp/>
        <stp>BDP|14958547195070326256</stp>
        <tr r="J20" s="1"/>
      </tp>
      <tp t="s">
        <v>#N/A Requesting Data...4290950438</v>
        <stp/>
        <stp>BDP|11046220085264310559</stp>
        <tr r="D18" s="8"/>
      </tp>
      <tp t="s">
        <v>#N/A Requesting Data...4279868308</v>
        <stp/>
        <stp>BDP|13460114696457265614</stp>
        <tr r="L27" s="1"/>
      </tp>
      <tp t="s">
        <v>#N/A Requesting Data...4232864119</v>
        <stp/>
        <stp>BDP|13919515534116969904</stp>
        <tr r="I64" s="1"/>
      </tp>
      <tp t="s">
        <v>#N/A Requesting Data...4206442500</v>
        <stp/>
        <stp>BDP|17508597188186229629</stp>
        <tr r="J6" s="1"/>
      </tp>
      <tp t="s">
        <v>#N/A Requesting Data...4229100382</v>
        <stp/>
        <stp>BDP|13526869274923623551</stp>
        <tr r="C53" s="8"/>
      </tp>
      <tp t="s">
        <v>#N/A Requesting Data...4224570356</v>
        <stp/>
        <stp>BDP|15111742258284124983</stp>
        <tr r="L29" s="1"/>
      </tp>
      <tp t="s">
        <v>#N/A Requesting Data...4213877734</v>
        <stp/>
        <stp>BDP|18185329308191401082</stp>
        <tr r="F20" s="1"/>
      </tp>
      <tp t="s">
        <v>#N/A Requesting Data...4266980206</v>
        <stp/>
        <stp>BDP|16890815759338367949</stp>
        <tr r="D51" s="1"/>
      </tp>
      <tp t="s">
        <v>#N/A Requesting Data...4229688500</v>
        <stp/>
        <stp>BDP|16140975092355216900</stp>
        <tr r="K55" s="1"/>
      </tp>
      <tp t="s">
        <v>#N/A Requesting Data...4274234752</v>
        <stp/>
        <stp>BDP|18326560863508414944</stp>
        <tr r="G26" s="1"/>
      </tp>
      <tp t="s">
        <v>#N/A Requesting Data...4242472573</v>
        <stp/>
        <stp>BDP|10368939639168976994</stp>
        <tr r="J17" s="1"/>
      </tp>
      <tp t="s">
        <v>#N/A Requesting Data...4276135263</v>
        <stp/>
        <stp>BDP|11052175334190137890</stp>
        <tr r="B30" s="1"/>
      </tp>
      <tp t="s">
        <v>#N/A Requesting Data...4247923275</v>
        <stp/>
        <stp>BDP|15746087781511057753</stp>
        <tr r="D2" s="3"/>
      </tp>
      <tp t="s">
        <v>#N/A Requesting Data...4277591611</v>
        <stp/>
        <stp>BDP|15645100213387715992</stp>
        <tr r="L61" s="1"/>
      </tp>
      <tp t="s">
        <v>#N/A Requesting Data...4242149502</v>
        <stp/>
        <stp>BDP|14087266398164740034</stp>
        <tr r="G62" s="1"/>
      </tp>
      <tp t="s">
        <v>#N/A Requesting Data...4254305634</v>
        <stp/>
        <stp>BDP|11575279992052976345</stp>
        <tr r="G43" s="1"/>
      </tp>
      <tp t="s">
        <v>#N/A Requesting Data...4253177565</v>
        <stp/>
        <stp>BDP|14703429808209069220</stp>
        <tr r="I11" s="1"/>
      </tp>
      <tp t="s">
        <v>#N/A Requesting Data...4283496027</v>
        <stp/>
        <stp>BDP|11989281114321533816</stp>
        <tr r="D16" s="3"/>
      </tp>
      <tp t="s">
        <v>#N/A Requesting Data...4280471681</v>
        <stp/>
        <stp>BDP|13660867942522235611</stp>
        <tr r="D51" s="8"/>
      </tp>
      <tp t="s">
        <v>#N/A Requesting Data...4263368819</v>
        <stp/>
        <stp>BDP|13178722256253016943</stp>
        <tr r="I57" s="1"/>
      </tp>
      <tp t="s">
        <v>#N/A Requesting Data...4261637929</v>
        <stp/>
        <stp>BDP|14520710436403431861</stp>
        <tr r="G6" s="1"/>
      </tp>
      <tp t="s">
        <v>#N/A N/A</v>
        <stp/>
        <stp>BDP|10897707799153720656</stp>
        <tr r="C62" s="8"/>
      </tp>
      <tp t="s">
        <v>#N/A Requesting Data...4253553923</v>
        <stp/>
        <stp>BDP|16176346313206351919</stp>
        <tr r="H4" s="1"/>
      </tp>
      <tp t="s">
        <v>#N/A Requesting Data...4270710244</v>
        <stp/>
        <stp>BDP|12197636663181337868</stp>
        <tr r="K54" s="1"/>
      </tp>
      <tp t="s">
        <v>#N/A Requesting Data...4282429662</v>
        <stp/>
        <stp>BDP|18349692454138905833</stp>
        <tr r="E17" s="1"/>
      </tp>
      <tp t="s">
        <v>#N/A Requesting Data...4270939935</v>
        <stp/>
        <stp>BDP|15087367646391437834</stp>
        <tr r="H14" s="1"/>
      </tp>
      <tp t="s">
        <v>#N/A Requesting Data...4285985734</v>
        <stp/>
        <stp>BDP|17036228880190041650</stp>
        <tr r="F55" s="1"/>
      </tp>
      <tp t="s">
        <v>#N/A Requesting Data...4283940606</v>
        <stp/>
        <stp>BDP|11837778477818434157</stp>
        <tr r="D58" s="3"/>
      </tp>
      <tp t="s">
        <v>#N/A Requesting Data...4279245920</v>
        <stp/>
        <stp>BDP|15523399157263496865</stp>
        <tr r="G14" s="1"/>
      </tp>
      <tp t="s">
        <v>#N/A Requesting Data...4277295652</v>
        <stp/>
        <stp>BDP|11982787543589957307</stp>
        <tr r="I43" s="1"/>
      </tp>
      <tp t="s">
        <v>#N/A Requesting Data...4283685849</v>
        <stp/>
        <stp>BDP|17868885768680482167</stp>
        <tr r="I13" s="1"/>
      </tp>
      <tp t="s">
        <v>#N/A Requesting Data...4291428161</v>
        <stp/>
        <stp>BDP|12980595798865510377</stp>
        <tr r="L63" s="1"/>
      </tp>
      <tp t="s">
        <v>#N/A Requesting Data...4281268924</v>
        <stp/>
        <stp>BDP|14200955921636813142</stp>
        <tr r="F16" s="1"/>
      </tp>
      <tp t="s">
        <v>#N/A Requesting Data...4280477416</v>
        <stp/>
        <stp>BDP|16534037011659844627</stp>
        <tr r="J63" s="1"/>
      </tp>
      <tp t="s">
        <v>#N/A Requesting Data...4289829706</v>
        <stp/>
        <stp>BDP|16479900246823610087</stp>
        <tr r="K18" s="1"/>
      </tp>
      <tp t="s">
        <v>#N/A Requesting Data...4289961913</v>
        <stp/>
        <stp>BDP|13990049119419081385</stp>
        <tr r="B38" s="1"/>
      </tp>
      <tp t="s">
        <v>#N/A Requesting Data...4281382401</v>
        <stp/>
        <stp>BDP|12602911637348551894</stp>
        <tr r="C46" s="8"/>
      </tp>
      <tp t="s">
        <v>#N/A Requesting Data...4293162530</v>
        <stp/>
        <stp>BDP|15479933272181062295</stp>
        <tr r="E40" s="1"/>
      </tp>
      <tp t="s">
        <v>#N/A Requesting Data...4291543242</v>
        <stp/>
        <stp>BDP|10786855285031168988</stp>
        <tr r="L59" s="1"/>
      </tp>
      <tp t="s">
        <v>#N/A Requesting Data...4289673376</v>
        <stp/>
        <stp>BDP|18040348928021257008</stp>
        <tr r="G52" s="1"/>
      </tp>
      <tp t="s">
        <v>#N/A Requesting Data...4291162991</v>
        <stp/>
        <stp>BDP|17673373565559686330</stp>
        <tr r="J40" s="1"/>
      </tp>
      <tp t="s">
        <v>#N/A Requesting Data...4294164489</v>
        <stp/>
        <stp>BDP|12844327388337413679</stp>
        <tr r="I55" s="1"/>
      </tp>
      <tp t="s">
        <v>#N/A Requesting Data...4294225906</v>
        <stp/>
        <stp>BDP|17268652847829372428</stp>
        <tr r="D29" s="1"/>
      </tp>
      <tp t="s">
        <v>#N/A Requesting Data...2216979456</v>
        <stp/>
        <stp>BDP|15787306711927767819</stp>
        <tr r="L48" s="1"/>
      </tp>
      <tp t="s">
        <v>#N/A Requesting Data...3873252152</v>
        <stp/>
        <stp>BDP|10779491889841611517</stp>
        <tr r="B39" s="1"/>
      </tp>
      <tp t="s">
        <v>#N/A Requesting Data...4099547953</v>
        <stp/>
        <stp>BDP|16362776211061238958</stp>
        <tr r="E63" s="1"/>
      </tp>
      <tp t="s">
        <v>#N/A Requesting Data...588307329</v>
        <stp/>
        <stp>BDP|15052101724139111702</stp>
        <tr r="E39" s="1"/>
      </tp>
      <tp t="s">
        <v>#N/A Requesting Data...2510238845</v>
        <stp/>
        <stp>BDP|17226440637781370977</stp>
        <tr r="F7" s="1"/>
      </tp>
      <tp t="s">
        <v>#N/A Requesting Data...1532728386</v>
        <stp/>
        <stp>BDP|14109542024372377969</stp>
        <tr r="C8" s="8"/>
      </tp>
      <tp t="s">
        <v>#N/A Requesting Data...2681499806</v>
        <stp/>
        <stp>BDP|12065036784234641655</stp>
        <tr r="K26" s="1"/>
      </tp>
      <tp t="s">
        <v>#N/A Requesting Data...1467399886</v>
        <stp/>
        <stp>BDP|16711279197627139229</stp>
        <tr r="F22" s="1"/>
      </tp>
      <tp t="s">
        <v>#N/A Requesting Data...2860598509</v>
        <stp/>
        <stp>BDP|13913273380189185894</stp>
        <tr r="B34" s="1"/>
      </tp>
      <tp t="s">
        <v>#N/A Requesting Data...3099297003</v>
        <stp/>
        <stp>BDP|11809385222958995139</stp>
        <tr r="F42" s="1"/>
      </tp>
      <tp t="s">
        <v>#N/A Requesting Data...1457246581</v>
        <stp/>
        <stp>BDP|12843046709093822851</stp>
        <tr r="G32" s="1"/>
      </tp>
      <tp t="s">
        <v>#N/A Requesting Data...3153602415</v>
        <stp/>
        <stp>BDP|17510980245342170113</stp>
        <tr r="D16" s="1"/>
      </tp>
      <tp t="s">
        <v>#N/A Requesting Data...3412261577</v>
        <stp/>
        <stp>BDP|12860015823980757964</stp>
        <tr r="F46" s="3"/>
      </tp>
      <tp t="s">
        <v>#N/A Requesting Data...2609779419</v>
        <stp/>
        <stp>BDP|11887032562628445668</stp>
        <tr r="C4" s="8"/>
      </tp>
      <tp t="s">
        <v>#N/A Requesting Data...1564137943</v>
        <stp/>
        <stp>BDP|14905320790583258437</stp>
        <tr r="I28" s="1"/>
      </tp>
      <tp t="s">
        <v>#N/A Requesting Data...61912478</v>
        <stp/>
        <stp>BDP|15392799696153075118</stp>
        <tr r="C43" s="8"/>
      </tp>
      <tp t="s">
        <v>#N/A Requesting Data...2937155184</v>
        <stp/>
        <stp>BDP|12054298365219662678</stp>
        <tr r="D37" s="8"/>
      </tp>
      <tp t="s">
        <v>#N/A Requesting Data...65599043</v>
        <stp/>
        <stp>BDP|10711178020093431989</stp>
        <tr r="J31" s="1"/>
      </tp>
      <tp t="s">
        <v>#N/A N/A</v>
        <stp/>
        <stp>BDP|16556696251959724550</stp>
        <tr r="C36" s="8"/>
      </tp>
      <tp t="s">
        <v>#N/A Requesting Data...80597225</v>
        <stp/>
        <stp>BDP|12676487480703120412</stp>
        <tr r="H50" s="1"/>
      </tp>
      <tp t="s">
        <v>#N/A Requesting Data...1962280658</v>
        <stp/>
        <stp>BDP|15518744181335285633</stp>
        <tr r="L41" s="1"/>
      </tp>
      <tp t="s">
        <v>#N/A Requesting Data...347560265</v>
        <stp/>
        <stp>BDP|11378604808228393687</stp>
        <tr r="J37" s="1"/>
      </tp>
      <tp t="s">
        <v>#N/A Requesting Data...2482689407</v>
        <stp/>
        <stp>BDP|16919129498896058135</stp>
        <tr r="D10" s="1"/>
      </tp>
      <tp t="s">
        <v>#N/A Requesting Data...2864011000</v>
        <stp/>
        <stp>BDP|14706441180221176020</stp>
        <tr r="G57" s="1"/>
      </tp>
      <tp t="s">
        <v>#N/A Requesting Data...1201529139</v>
        <stp/>
        <stp>BDP|13043762410259791536</stp>
        <tr r="D13" s="8"/>
      </tp>
      <tp t="s">
        <v>#N/A Requesting Data...1931203706</v>
        <stp/>
        <stp>BDP|11396507399345913111</stp>
        <tr r="L53" s="1"/>
      </tp>
      <tp t="s">
        <v>#N/A Requesting Data...853950047</v>
        <stp/>
        <stp>BDP|13842177342368710787</stp>
        <tr r="K27" s="1"/>
      </tp>
      <tp t="s">
        <v>#N/A Requesting Data...2640268971</v>
        <stp/>
        <stp>BDP|12832088272154372840</stp>
        <tr r="L39" s="1"/>
      </tp>
      <tp t="s">
        <v>#N/A Requesting Data...2509537944</v>
        <stp/>
        <stp>BDP|12478434856258181271</stp>
        <tr r="B11" s="1"/>
      </tp>
      <tp t="s">
        <v>#N/A Requesting Data...2002867870</v>
        <stp/>
        <stp>BDP|18219718766915100528</stp>
        <tr r="I60" s="1"/>
      </tp>
      <tp t="s">
        <v>#N/A Requesting Data...2594485442</v>
        <stp/>
        <stp>BDP|16752870422014439108</stp>
        <tr r="B49" s="1"/>
      </tp>
      <tp t="s">
        <v>#N/A Requesting Data...3044002555</v>
        <stp/>
        <stp>BDP|17450786317516636947</stp>
        <tr r="G37" s="1"/>
      </tp>
      <tp t="s">
        <v>#N/A Requesting Data...2794623635</v>
        <stp/>
        <stp>BDP|15347959508997506530</stp>
        <tr r="I36" s="1"/>
      </tp>
      <tp t="s">
        <v>#N/A Requesting Data...178504425</v>
        <stp/>
        <stp>BDP|12997679094976315521</stp>
        <tr r="J55" s="1"/>
      </tp>
      <tp t="s">
        <v>#N/A Requesting Data...2318870450</v>
        <stp/>
        <stp>BDP|18100704607461566080</stp>
        <tr r="K47" s="1"/>
      </tp>
      <tp t="s">
        <v>#N/A Requesting Data...1271808367</v>
        <stp/>
        <stp>BDP|12622586825869745261</stp>
        <tr r="E66" s="1"/>
      </tp>
      <tp t="s">
        <v>#N/A Requesting Data...1361347180</v>
        <stp/>
        <stp>BDP|10235265208275609903</stp>
        <tr r="D36" s="3"/>
      </tp>
      <tp t="s">
        <v>#N/A Requesting Data...732496398</v>
        <stp/>
        <stp>BDP|17122565538808600738</stp>
        <tr r="C64" s="8"/>
      </tp>
      <tp t="s">
        <v>#N/A Requesting Data...816298098</v>
        <stp/>
        <stp>BDP|14564199679169836578</stp>
        <tr r="J28" s="1"/>
      </tp>
      <tp t="s">
        <v>#N/A Requesting Data...1100010748</v>
        <stp/>
        <stp>BDP|15962132032040274975</stp>
        <tr r="C32" s="8"/>
      </tp>
      <tp t="s">
        <v>#N/A Requesting Data...1465525763</v>
        <stp/>
        <stp>BDP|18173576168854591164</stp>
        <tr r="L6" s="1"/>
      </tp>
      <tp t="s">
        <v>#N/A Requesting Data...2873742299</v>
        <stp/>
        <stp>BDP|11604835609834306306</stp>
        <tr r="B51" s="1"/>
      </tp>
      <tp t="s">
        <v>#N/A Requesting Data...868426671</v>
        <stp/>
        <stp>BDP|10149906597916072885</stp>
        <tr r="D4" s="1"/>
      </tp>
      <tp t="s">
        <v>#N/A Requesting Data...3473492825</v>
        <stp/>
        <stp>BDP|18108639129446203483</stp>
        <tr r="D61" s="3"/>
      </tp>
      <tp t="s">
        <v>#N/A Requesting Data...3863658851</v>
        <stp/>
        <stp>BDP|11110133209336892833</stp>
        <tr r="K59" s="1"/>
      </tp>
      <tp t="s">
        <v>#N/A Requesting Data...4181693150</v>
        <stp/>
        <stp>BDP|10377365063279085260</stp>
        <tr r="B37" s="1"/>
      </tp>
      <tp t="s">
        <v>#N/A Requesting Data...1417483954</v>
        <stp/>
        <stp>BDP|13391931404007773339</stp>
        <tr r="F65" s="1"/>
      </tp>
      <tp t="s">
        <v>#N/A Requesting Data...4226604395</v>
        <stp/>
        <stp>BDP|16483059537762337950</stp>
        <tr r="F18" s="3"/>
      </tp>
      <tp t="s">
        <v>#N/A Requesting Data...1799724937</v>
        <stp/>
        <stp>BDP|13341813754202553234</stp>
        <tr r="L33" s="1"/>
      </tp>
      <tp t="s">
        <v>#N/A Requesting Data...1357166562</v>
        <stp/>
        <stp>BDP|13729877817021339579</stp>
        <tr r="G61" s="1"/>
      </tp>
      <tp t="s">
        <v>#N/A Requesting Data...1114471579</v>
        <stp/>
        <stp>BDP|12876266239665584812</stp>
        <tr r="D46" s="3"/>
      </tp>
      <tp t="s">
        <v>#N/A Requesting Data...4149546833</v>
        <stp/>
        <stp>BDP|18206394038065535357</stp>
        <tr r="H61" s="1"/>
      </tp>
      <tp t="s">
        <v>#N/A Requesting Data...988622687</v>
        <stp/>
        <stp>BDP|11867952775139397895</stp>
        <tr r="L23" s="1"/>
      </tp>
      <tp t="s">
        <v>#N/A Requesting Data...3047683625</v>
        <stp/>
        <stp>BDP|15168441075670625841</stp>
        <tr r="L15" s="1"/>
      </tp>
      <tp t="s">
        <v>#N/A Requesting Data...680660523</v>
        <stp/>
        <stp>BDP|13906948076976940503</stp>
        <tr r="D62" s="8"/>
      </tp>
      <tp t="s">
        <v>#N/A Requesting Data...2325786678</v>
        <stp/>
        <stp>BDP|10269662156889481429</stp>
        <tr r="E25" s="1"/>
      </tp>
      <tp t="s">
        <v>#N/A Requesting Data...3763602790</v>
        <stp/>
        <stp>BDP|13634667215122724859</stp>
        <tr r="K22" s="1"/>
      </tp>
      <tp t="s">
        <v>#N/A Requesting Data...3023455978</v>
        <stp/>
        <stp>BDP|10922747666698928749</stp>
        <tr r="D9" s="8"/>
      </tp>
      <tp t="s">
        <v>#N/A Requesting Data...1366688247</v>
        <stp/>
        <stp>BDP|16755617792324223305</stp>
        <tr r="G10" s="1"/>
      </tp>
      <tp t="s">
        <v>#N/A Requesting Data...1174887127</v>
        <stp/>
        <stp>BDP|17197237716813447966</stp>
        <tr r="D48" s="1"/>
      </tp>
      <tp t="s">
        <v>#N/A Requesting Data...1026408768</v>
        <stp/>
        <stp>BDP|11376147049109129273</stp>
        <tr r="D48" s="3"/>
      </tp>
      <tp t="s">
        <v>#N/A Requesting Data...1293321676</v>
        <stp/>
        <stp>BDP|16827840713199559916</stp>
        <tr r="B40" s="1"/>
      </tp>
      <tp t="s">
        <v>#N/A Requesting Data...3818198600</v>
        <stp/>
        <stp>BDP|15315371894861977132</stp>
        <tr r="E33" s="1"/>
      </tp>
      <tp t="s">
        <v>#N/A Requesting Data...1900971376</v>
        <stp/>
        <stp>BDP|11169615898156296709</stp>
        <tr r="F41" s="1"/>
      </tp>
      <tp t="s">
        <v>#N/A Requesting Data...354317612</v>
        <stp/>
        <stp>BDP|16295279253418256684</stp>
        <tr r="G51" s="1"/>
      </tp>
      <tp t="s">
        <v>#N/A Requesting Data...894961744</v>
        <stp/>
        <stp>BDP|14909909446660975693</stp>
        <tr r="D40" s="3"/>
      </tp>
      <tp t="s">
        <v>#N/A Requesting Data...2770366713</v>
        <stp/>
        <stp>BDP|13596148627499862613</stp>
        <tr r="D24" s="3"/>
        <tr r="D49" s="3"/>
      </tp>
      <tp t="s">
        <v>#N/A Requesting Data...426714729</v>
        <stp/>
        <stp>BDP|12361292480605722225</stp>
        <tr r="I56" s="1"/>
      </tp>
      <tp t="s">
        <v>#N/A Requesting Data...2735638940</v>
        <stp/>
        <stp>BDP|12995045442961777877</stp>
        <tr r="J29" s="1"/>
      </tp>
      <tp t="s">
        <v>#N/A Requesting Data...2206203130</v>
        <stp/>
        <stp>BDP|13020570079639085705</stp>
        <tr r="L42" s="1"/>
      </tp>
      <tp t="s">
        <v>#N/A Requesting Data...1515684165</v>
        <stp/>
        <stp>BDP|16034113284819536915</stp>
        <tr r="D8" s="1"/>
      </tp>
      <tp t="s">
        <v>#N/A Requesting Data...2996703878</v>
        <stp/>
        <stp>BDP|14884839547126519180</stp>
        <tr r="I27" s="1"/>
      </tp>
      <tp t="s">
        <v>#N/A Requesting Data...461614185</v>
        <stp/>
        <stp>BDP|17922450800518513499</stp>
        <tr r="F4" s="1"/>
      </tp>
      <tp t="s">
        <v>#N/A Requesting Data...3332972834</v>
        <stp/>
        <stp>BDP|12514912656166042723</stp>
        <tr r="G15" s="1"/>
      </tp>
      <tp t="s">
        <v>#N/A Requesting Data...705473985</v>
        <stp/>
        <stp>BDP|11638153227414763918</stp>
        <tr r="D24" s="1"/>
      </tp>
      <tp t="s">
        <v>#N/A Requesting Data...4132611389</v>
        <stp/>
        <stp>BDP|10535353570323620846</stp>
        <tr r="F43" s="3"/>
      </tp>
      <tp t="s">
        <v>#N/A Requesting Data...2850982276</v>
        <stp/>
        <stp>BDP|11047910093626290840</stp>
        <tr r="F18" s="1"/>
      </tp>
      <tp t="s">
        <v>#N/A Requesting Data...1979528458</v>
        <stp/>
        <stp>BDP|13606328512569351728</stp>
        <tr r="B48" s="1"/>
      </tp>
      <tp t="s">
        <v>#N/A Requesting Data...3166090656</v>
        <stp/>
        <stp>BDP|12756007756698374054</stp>
        <tr r="L30" s="1"/>
      </tp>
      <tp t="s">
        <v>#N/A Requesting Data...3573033197</v>
        <stp/>
        <stp>BDP|15106213338793829872</stp>
        <tr r="F11" s="3"/>
      </tp>
      <tp t="s">
        <v>#N/A Requesting Data...1278089058</v>
        <stp/>
        <stp>BDP|13943872303591263591</stp>
        <tr r="K14" s="1"/>
      </tp>
      <tp t="s">
        <v>#N/A Requesting Data...2803061263</v>
        <stp/>
        <stp>BDP|16854965045865335203</stp>
        <tr r="D35" s="8"/>
      </tp>
      <tp t="s">
        <v>#N/A Requesting Data...597652197</v>
        <stp/>
        <stp>BDP|16965204381036981695</stp>
        <tr r="F30" s="3"/>
      </tp>
      <tp t="s">
        <v>#N/A Requesting Data...2355884038</v>
        <stp/>
        <stp>BDP|12570690591818357964</stp>
        <tr r="G42" s="1"/>
      </tp>
      <tp t="s">
        <v>#N/A Requesting Data...2140799922</v>
        <stp/>
        <stp>BDP|11321295872909669164</stp>
        <tr r="D6" s="3"/>
      </tp>
      <tp t="s">
        <v>#N/A Requesting Data...254151570</v>
        <stp/>
        <stp>BDP|14523064128473117924</stp>
        <tr r="G44" s="1"/>
      </tp>
      <tp t="s">
        <v>#N/A Requesting Data...1296521776</v>
        <stp/>
        <stp>BDP|18399776881988527382</stp>
        <tr r="L4" s="1"/>
      </tp>
      <tp t="s">
        <v>#N/A Requesting Data...2350664169</v>
        <stp/>
        <stp>BDP|17021935406560985271</stp>
        <tr r="G25" s="1"/>
      </tp>
      <tp t="s">
        <v>#N/A Requesting Data...479722717</v>
        <stp/>
        <stp>BDP|13253243082081845472</stp>
        <tr r="F37" s="3"/>
      </tp>
      <tp t="s">
        <v>#N/A Requesting Data...1580378580</v>
        <stp/>
        <stp>BDP|14448298720320357836</stp>
        <tr r="K64" s="1"/>
      </tp>
      <tp t="s">
        <v>#N/A Requesting Data...1457516443</v>
        <stp/>
        <stp>BDP|16209137249669057655</stp>
        <tr r="H21" s="1"/>
      </tp>
      <tp t="s">
        <v>#N/A Requesting Data...3430917528</v>
        <stp/>
        <stp>BDP|12838291449171248976</stp>
        <tr r="K10" s="1"/>
      </tp>
      <tp t="s">
        <v>#N/A Requesting Data...2691049335</v>
        <stp/>
        <stp>BDP|13791937412325360292</stp>
        <tr r="E21" s="1"/>
      </tp>
      <tp t="s">
        <v>#N/A Requesting Data...2633832516</v>
        <stp/>
        <stp>BDP|12528415767828960465</stp>
        <tr r="K66" s="1"/>
      </tp>
      <tp t="s">
        <v>#N/A Requesting Data...4226714169</v>
        <stp/>
        <stp>BDP|15455138896860542180</stp>
        <tr r="K3" s="1"/>
      </tp>
      <tp t="s">
        <v>#N/A Requesting Data...1437049595</v>
        <stp/>
        <stp>BDP|15125271640116264982</stp>
        <tr r="L52" s="1"/>
      </tp>
      <tp t="s">
        <v>#N/A Requesting Data...422471276</v>
        <stp/>
        <stp>BDP|10929000451498684114</stp>
        <tr r="E29" s="1"/>
      </tp>
      <tp t="s">
        <v>#N/A Requesting Data...2777845386</v>
        <stp/>
        <stp>BDP|16519388488968225990</stp>
        <tr r="G21" s="1"/>
      </tp>
      <tp t="s">
        <v>#N/A Requesting Data...1911887962</v>
        <stp/>
        <stp>BDP|10579388260331317808</stp>
        <tr r="B50" s="1"/>
      </tp>
      <tp t="s">
        <v>#N/A Requesting Data...1717522592</v>
        <stp/>
        <stp>BDP|14061838571051748640</stp>
        <tr r="D56" s="8"/>
      </tp>
      <tp t="s">
        <v>#N/A Requesting Data...3483495092</v>
        <stp/>
        <stp>BDP|15558345660924913896</stp>
        <tr r="L31" s="1"/>
      </tp>
      <tp t="s">
        <v>#N/A Requesting Data...3369290257</v>
        <stp/>
        <stp>BDP|14725045661649724740</stp>
        <tr r="F62" s="3"/>
      </tp>
      <tp t="s">
        <v>#N/A Requesting Data...300743797</v>
        <stp/>
        <stp>BDP|12566107823669161464</stp>
        <tr r="F27" s="3"/>
      </tp>
      <tp t="s">
        <v>#N/A Requesting Data...3400467964</v>
        <stp/>
        <stp>BDP|12629097068901763922</stp>
        <tr r="F40" s="1"/>
      </tp>
      <tp t="s">
        <v>#N/A Requesting Data...2777393344</v>
        <stp/>
        <stp>BDP|10620566546355666829</stp>
        <tr r="F15" s="1"/>
      </tp>
      <tp t="s">
        <v>#N/A N/A</v>
        <stp/>
        <stp>BDP|16970393687323031228</stp>
        <tr r="C19" s="8"/>
      </tp>
      <tp t="s">
        <v>#N/A Requesting Data...2875770835</v>
        <stp/>
        <stp>BDP|12636337107899032462</stp>
        <tr r="C55" s="8"/>
      </tp>
      <tp t="s">
        <v>#N/A Requesting Data...3803572920</v>
        <stp/>
        <stp>BDP|14056902150257286361</stp>
        <tr r="J10" s="1"/>
      </tp>
      <tp t="s">
        <v>#N/A Requesting Data...3854668338</v>
        <stp/>
        <stp>BDP|15682968865856695073</stp>
        <tr r="D62" s="1"/>
      </tp>
      <tp t="s">
        <v>#N/A Requesting Data...358107645</v>
        <stp/>
        <stp>BDP|12130005799524677395</stp>
        <tr r="L51" s="1"/>
      </tp>
      <tp t="s">
        <v>#N/A Requesting Data...1020396641</v>
        <stp/>
        <stp>BDP|17546244126938556358</stp>
        <tr r="L64" s="1"/>
      </tp>
      <tp t="s">
        <v>#N/A Requesting Data...928055134</v>
        <stp/>
        <stp>BDP|10944120159958534018</stp>
        <tr r="D14" s="8"/>
      </tp>
      <tp t="s">
        <v>#N/A Requesting Data...824377221</v>
        <stp/>
        <stp>BDP|17675285235648817250</stp>
        <tr r="F57" s="3"/>
      </tp>
      <tp t="s">
        <v>#N/A Requesting Data...2647761463</v>
        <stp/>
        <stp>BDP|15634920542380894564</stp>
        <tr r="D7" s="1"/>
      </tp>
      <tp t="s">
        <v>#N/A Requesting Data...3560366536</v>
        <stp/>
        <stp>BDP|14255441170139627385</stp>
        <tr r="K30" s="1"/>
      </tp>
      <tp t="s">
        <v>#N/A Requesting Data...4000642144</v>
        <stp/>
        <stp>BDP|12270847838226379263</stp>
        <tr r="E32" s="1"/>
      </tp>
      <tp t="s">
        <v>#N/A Requesting Data...1198234929</v>
        <stp/>
        <stp>BDP|12049034044962516980</stp>
        <tr r="H47" s="1"/>
      </tp>
      <tp t="s">
        <v>#N/A Requesting Data...1117754229</v>
        <stp/>
        <stp>BDP|13443842419330748744</stp>
        <tr r="G20" s="1"/>
      </tp>
      <tp t="s">
        <v>#N/A Requesting Data...3508238617</v>
        <stp/>
        <stp>BDP|12350981881266696814</stp>
        <tr r="H32" s="1"/>
      </tp>
      <tp t="s">
        <v>#N/A Requesting Data...3157603005</v>
        <stp/>
        <stp>BDP|15021563720068809718</stp>
        <tr r="D30" s="8"/>
      </tp>
      <tp t="s">
        <v>#N/A Requesting Data...3195178316</v>
        <stp/>
        <stp>BDP|12008767392028841928</stp>
        <tr r="G17" s="1"/>
      </tp>
      <tp t="s">
        <v>#N/A Requesting Data...1225686344</v>
        <stp/>
        <stp>BDP|14808826033892397048</stp>
        <tr r="G18" s="1"/>
      </tp>
      <tp t="s">
        <v>#N/A Requesting Data...4155037232</v>
        <stp/>
        <stp>BDP|18177421134471623310</stp>
        <tr r="B36" s="1"/>
      </tp>
      <tp t="s">
        <v>#N/A Requesting Data...1116819962</v>
        <stp/>
        <stp>BDP|13957309272593964914</stp>
        <tr r="C60" s="8"/>
      </tp>
      <tp t="s">
        <v>#N/A Requesting Data...1984052266</v>
        <stp/>
        <stp>BDP|10701263522885318820</stp>
        <tr r="J4" s="1"/>
      </tp>
      <tp t="s">
        <v>#N/A Requesting Data...945288157</v>
        <stp/>
        <stp>BDP|18008796665893994776</stp>
        <tr r="J27" s="1"/>
      </tp>
      <tp t="s">
        <v>#N/A N/A</v>
        <stp/>
        <stp>BDP|12099435197175273726</stp>
        <tr r="C52" s="8"/>
      </tp>
      <tp t="s">
        <v>#N/A Requesting Data...1937510962</v>
        <stp/>
        <stp>BDP|10695945110497483212</stp>
        <tr r="B5" s="1"/>
      </tp>
      <tp t="s">
        <v>#N/A Requesting Data...2035591620</v>
        <stp/>
        <stp>BDP|18145073342464360503</stp>
        <tr r="I8" s="1"/>
      </tp>
      <tp t="s">
        <v>#N/A Requesting Data...3093604649</v>
        <stp/>
        <stp>BDP|18402051792278316477</stp>
        <tr r="E12" s="1"/>
      </tp>
      <tp t="s">
        <v>#N/A Requesting Data...3466897075</v>
        <stp/>
        <stp>BDP|18322661807026345563</stp>
        <tr r="B54" s="1"/>
      </tp>
      <tp t="s">
        <v>#N/A Requesting Data...1131257912</v>
        <stp/>
        <stp>BDP|16342757895082078754</stp>
        <tr r="K28" s="1"/>
      </tp>
      <tp t="s">
        <v>#N/A Requesting Data...3259230568</v>
        <stp/>
        <stp>BDP|11425991979001119337</stp>
        <tr r="L21" s="1"/>
      </tp>
      <tp t="s">
        <v>#N/A Requesting Data...502337010</v>
        <stp/>
        <stp>BDP|12435531160095887678</stp>
        <tr r="G34" s="1"/>
      </tp>
      <tp t="s">
        <v>#N/A Requesting Data...2656517155</v>
        <stp/>
        <stp>BDP|17724391251027444435</stp>
        <tr r="C33" s="8"/>
      </tp>
      <tp t="s">
        <v>#N/A Requesting Data...4161622109</v>
        <stp/>
        <stp>BDP|16152392797296773838</stp>
        <tr r="D5" s="1"/>
      </tp>
      <tp t="s">
        <v>#N/A Requesting Data...3119966026</v>
        <stp/>
        <stp>BDP|11999196085443642986</stp>
        <tr r="F33" s="1"/>
      </tp>
      <tp t="s">
        <v>#N/A Requesting Data...2491737182</v>
        <stp/>
        <stp>BDP|17819402659474370093</stp>
        <tr r="J24" s="1"/>
      </tp>
      <tp t="s">
        <v>#N/A Requesting Data...2840349597</v>
        <stp/>
        <stp>BDP|12805375977081046523</stp>
        <tr r="I65" s="1"/>
      </tp>
      <tp t="s">
        <v>#N/A Requesting Data...729006873</v>
        <stp/>
        <stp>BDP|15567192177543154201</stp>
        <tr r="I5" s="1"/>
      </tp>
      <tp t="s">
        <v>#N/A Requesting Data...487895991</v>
        <stp/>
        <stp>BDP|17773486702527909696</stp>
        <tr r="B43" s="1"/>
      </tp>
      <tp t="s">
        <v>#N/A Requesting Data...2821842772</v>
        <stp/>
        <stp>BDP|15874776924166326454</stp>
        <tr r="G3" s="1"/>
      </tp>
      <tp t="s">
        <v>#N/A Requesting Data...3832185406</v>
        <stp/>
        <stp>BDP|15233728710044880541</stp>
        <tr r="I7" s="1"/>
      </tp>
      <tp t="s">
        <v>#N/A Requesting Data...3958803807</v>
        <stp/>
        <stp>BDP|12324927998141078155</stp>
        <tr r="F23" s="3"/>
      </tp>
      <tp t="s">
        <v>#N/A Requesting Data...3147795214</v>
        <stp/>
        <stp>BDP|15175790952787580206</stp>
        <tr r="E5" s="1"/>
      </tp>
      <tp t="s">
        <v>#N/A Requesting Data...1047091327</v>
        <stp/>
        <stp>BDP|16236459018179919899</stp>
        <tr r="D55" s="3"/>
      </tp>
      <tp t="s">
        <v>#N/A Requesting Data...1181342219</v>
        <stp/>
        <stp>BDP|14892277049781902109</stp>
        <tr r="C2" s="8"/>
      </tp>
      <tp t="s">
        <v>#N/A Requesting Data...401568442</v>
        <stp/>
        <stp>BDP|13832098758180154478</stp>
        <tr r="F48" s="3"/>
      </tp>
      <tp t="s">
        <v>#N/A Requesting Data...2411730351</v>
        <stp/>
        <stp>BDP|13887034310324086440</stp>
        <tr r="F64" s="1"/>
      </tp>
      <tp t="s">
        <v>#N/A Requesting Data...1949779226</v>
        <stp/>
        <stp>BDP|14500365237966989039</stp>
        <tr r="K50" s="1"/>
      </tp>
      <tp t="s">
        <v>#N/A Requesting Data...3503509485</v>
        <stp/>
        <stp>BDP|17869617774326114221</stp>
        <tr r="B25" s="1"/>
      </tp>
      <tp t="s">
        <v>#N/A Requesting Data...4095685643</v>
        <stp/>
        <stp>BDP|18057960168000570554</stp>
        <tr r="E54" s="1"/>
      </tp>
      <tp t="s">
        <v>#N/A Requesting Data...3627721348</v>
        <stp/>
        <stp>BDP|12212828407659763116</stp>
        <tr r="D64" s="1"/>
      </tp>
      <tp t="s">
        <v>#N/A Requesting Data...1411317290</v>
        <stp/>
        <stp>BDP|15837543507702925039</stp>
        <tr r="K52" s="1"/>
      </tp>
      <tp t="s">
        <v>#N/A Requesting Data...795176143</v>
        <stp/>
        <stp>BDP|15684618830625588724</stp>
        <tr r="G5" s="1"/>
      </tp>
      <tp t="s">
        <v>#N/A Requesting Data...2601535562</v>
        <stp/>
        <stp>BDP|16544187974137885512</stp>
        <tr r="C30" s="8"/>
      </tp>
      <tp t="s">
        <v>#N/A Requesting Data...1839694664</v>
        <stp/>
        <stp>BDP|13229737660252639271</stp>
        <tr r="H9" s="1"/>
      </tp>
      <tp t="s">
        <v>#N/A Requesting Data...907232717</v>
        <stp/>
        <stp>BDP|10188458182588734612</stp>
        <tr r="D27" s="1"/>
      </tp>
      <tp t="s">
        <v>#N/A Requesting Data...2626048891</v>
        <stp/>
        <stp>BDP|11893147853976803152</stp>
        <tr r="C48" s="8"/>
      </tp>
      <tp t="s">
        <v>#N/A Requesting Data...3765404901</v>
        <stp/>
        <stp>BDP|11697375143856127212</stp>
        <tr r="C25" s="8"/>
      </tp>
      <tp t="s">
        <v>#N/A Requesting Data...668429136</v>
        <stp/>
        <stp>BDP|14862188632111749501</stp>
        <tr r="D4" s="3"/>
      </tp>
      <tp t="s">
        <v>#N/A Requesting Data...533621116</v>
        <stp/>
        <stp>BDP|11392377945023331773</stp>
        <tr r="K32" s="1"/>
      </tp>
      <tp t="s">
        <v>#N/A Requesting Data...747804690</v>
        <stp/>
        <stp>BDP|12440897361006046897</stp>
        <tr r="F61" s="3"/>
      </tp>
      <tp t="s">
        <v>#N/A Requesting Data...2173194936</v>
        <stp/>
        <stp>BDP|12764107620702410162</stp>
        <tr r="F45" s="3"/>
      </tp>
      <tp t="s">
        <v>#N/A Requesting Data...4293145429</v>
        <stp/>
        <stp>BDP|15219138045582515057</stp>
        <tr r="D33" s="3"/>
      </tp>
      <tp t="s">
        <v>#N/A Requesting Data...2712388158</v>
        <stp/>
        <stp>BDP|12229701862064783536</stp>
        <tr r="E49" s="1"/>
      </tp>
      <tp t="s">
        <v>#N/A Requesting Data...1354046524</v>
        <stp/>
        <stp>BDP|15046710768391905746</stp>
        <tr r="D42" s="3"/>
      </tp>
      <tp t="s">
        <v>#N/A Requesting Data...2534384374</v>
        <stp/>
        <stp>BDP|15316191501565490385</stp>
        <tr r="B46" s="1"/>
      </tp>
      <tp t="s">
        <v>#N/A Requesting Data...2183164563</v>
        <stp/>
        <stp>BDP|17161596370890926765</stp>
        <tr r="K20" s="1"/>
      </tp>
      <tp t="s">
        <v>#N/A Requesting Data...3319954697</v>
        <stp/>
        <stp>BDP|11152048412782783071</stp>
        <tr r="B66" s="1"/>
      </tp>
      <tp t="s">
        <v>#N/A Requesting Data...3226806768</v>
        <stp/>
        <stp>BDP|13650949817460593976</stp>
        <tr r="K25" s="1"/>
      </tp>
      <tp t="s">
        <v>#N/A Requesting Data...3055284257</v>
        <stp/>
        <stp>BDP|10097549722073528646</stp>
        <tr r="D17" s="1"/>
      </tp>
      <tp t="s">
        <v>#N/A Requesting Data...716879188</v>
        <stp/>
        <stp>BDP|14872781116725421557</stp>
        <tr r="C20" s="8"/>
      </tp>
      <tp t="s">
        <v>#N/A Requesting Data...3028465000</v>
        <stp/>
        <stp>BDP|14772679125242417071</stp>
        <tr r="J38" s="1"/>
      </tp>
      <tp t="s">
        <v>#N/A Requesting Data...534019704</v>
        <stp/>
        <stp>BDP|15013500534846694744</stp>
        <tr r="H44" s="1"/>
      </tp>
      <tp t="s">
        <v>#N/A Requesting Data...1026033640</v>
        <stp/>
        <stp>BDP|10265373019683317279</stp>
        <tr r="F30" s="1"/>
      </tp>
      <tp t="s">
        <v>#N/A Requesting Data...3608669700</v>
        <stp/>
        <stp>BDP|13807638395416170971</stp>
        <tr r="D30" s="3"/>
      </tp>
      <tp t="s">
        <v>#N/A Requesting Data...1988680029</v>
        <stp/>
        <stp>BDP|16639417301775946479</stp>
        <tr r="F11" s="1"/>
      </tp>
      <tp t="s">
        <v>#N/A Requesting Data...3131067992</v>
        <stp/>
        <stp>BDP|10958708269783223193</stp>
        <tr r="K12" s="1"/>
      </tp>
      <tp t="s">
        <v>#N/A Requesting Data...1112101479</v>
        <stp/>
        <stp>BDP|12021086115581348117</stp>
        <tr r="D55" s="1"/>
      </tp>
      <tp t="s">
        <v>#N/A Requesting Data...2391214211</v>
        <stp/>
        <stp>BDP|15903053173778674993</stp>
        <tr r="J65" s="1"/>
      </tp>
      <tp t="s">
        <v>#N/A Requesting Data...3171593694</v>
        <stp/>
        <stp>BDP|12032809471289647778</stp>
        <tr r="J19" s="1"/>
      </tp>
      <tp t="s">
        <v>#N/A Requesting Data...629406546</v>
        <stp/>
        <stp>BDP|10336600618330866414</stp>
        <tr r="K43" s="1"/>
      </tp>
      <tp t="s">
        <v>#N/A Requesting Data...2589519024</v>
        <stp/>
        <stp>BDP|14387369763385761751</stp>
        <tr r="J36" s="1"/>
      </tp>
      <tp t="s">
        <v>#N/A Requesting Data...743605115</v>
        <stp/>
        <stp>BDP|11438961615723556948</stp>
        <tr r="D11" s="3"/>
      </tp>
      <tp t="s">
        <v>#N/A Requesting Data...4040205968</v>
        <stp/>
        <stp>BDP|11111021441084569213</stp>
        <tr r="I22" s="1"/>
      </tp>
      <tp t="s">
        <v>#N/A Requesting Data...3903608222</v>
        <stp/>
        <stp>BDP|14524220258057242459</stp>
        <tr r="F8" s="1"/>
      </tp>
      <tp t="s">
        <v>#N/A Requesting Data...3734888921</v>
        <stp/>
        <stp>BDP|14714599744630036513</stp>
        <tr r="D11" s="8"/>
      </tp>
      <tp t="s">
        <v>#N/A Requesting Data...1792240787</v>
        <stp/>
        <stp>BDP|13274149770057905255</stp>
        <tr r="B55" s="1"/>
      </tp>
      <tp t="s">
        <v>#N/A Requesting Data...1719441785</v>
        <stp/>
        <stp>BDP|15805064994029854589</stp>
        <tr r="J13" s="1"/>
      </tp>
      <tp t="s">
        <v>#N/A Requesting Data...4078691816</v>
        <stp/>
        <stp>BDP|18360929879976000024</stp>
        <tr r="L20" s="1"/>
      </tp>
      <tp t="s">
        <v>#N/A Requesting Data...1062963374</v>
        <stp/>
        <stp>BDP|14592781375892775626</stp>
        <tr r="H10" s="1"/>
      </tp>
      <tp t="s">
        <v>#N/A Requesting Data...2663389516</v>
        <stp/>
        <stp>BDP|14277091811986113368</stp>
        <tr r="G41" s="1"/>
      </tp>
      <tp t="s">
        <v>#N/A Requesting Data...3378334009</v>
        <stp/>
        <stp>BDP|13986017276556345217</stp>
        <tr r="D57" s="1"/>
      </tp>
      <tp t="s">
        <v>#N/A Requesting Data...935266413</v>
        <stp/>
        <stp>BDP|13953685046342258392</stp>
        <tr r="C47" s="8"/>
      </tp>
      <tp t="s">
        <v>#N/A Requesting Data...2605621588</v>
        <stp/>
        <stp>BDP|10524480407245684139</stp>
        <tr r="I17" s="1"/>
      </tp>
      <tp t="s">
        <v>#N/A Requesting Data...4208618191</v>
        <stp/>
        <stp>BDP|17659871388675790202</stp>
        <tr r="K34" s="1"/>
      </tp>
      <tp t="s">
        <v>#N/A Requesting Data...4271295732</v>
        <stp/>
        <stp>BDP|14913739679955998148</stp>
        <tr r="E7" s="1"/>
      </tp>
      <tp t="s">
        <v>#N/A Requesting Data...3710569633</v>
        <stp/>
        <stp>BDP|12526142679151868518</stp>
        <tr r="I41" s="1"/>
      </tp>
      <tp t="s">
        <v>#N/A Requesting Data...952031125</v>
        <stp/>
        <stp>BDP|12016040622333263354</stp>
        <tr r="I12" s="1"/>
      </tp>
      <tp t="s">
        <v>#N/A Requesting Data...1662389317</v>
        <stp/>
        <stp>BDP|12233336849262816713</stp>
        <tr r="D10" s="8"/>
      </tp>
      <tp t="s">
        <v>#N/A Requesting Data...1624855417</v>
        <stp/>
        <stp>BDP|15084002330040968698</stp>
        <tr r="I31" s="1"/>
      </tp>
      <tp t="s">
        <v>#N/A Requesting Data...3112604233</v>
        <stp/>
        <stp>BDP|13624661462707185405</stp>
        <tr r="E44" s="1"/>
      </tp>
      <tp t="s">
        <v>#N/A Requesting Data...4043967698</v>
        <stp/>
        <stp>BDP|12747932805898032321</stp>
        <tr r="B7" s="1"/>
      </tp>
      <tp t="s">
        <v>#N/A Requesting Data...2754766628</v>
        <stp/>
        <stp>BDP|11765331905372352011</stp>
        <tr r="D60" s="3"/>
      </tp>
      <tp t="s">
        <v>#N/A Requesting Data...2252918004</v>
        <stp/>
        <stp>BDP|17398503827643307357</stp>
        <tr r="E31" s="1"/>
      </tp>
      <tp t="s">
        <v>#N/A Requesting Data...4126037838</v>
        <stp/>
        <stp>BDP|12822515714584064289</stp>
        <tr r="K51" s="1"/>
      </tp>
      <tp t="s">
        <v>#N/A Requesting Data...3406860637</v>
        <stp/>
        <stp>BDP|16792935516247395969</stp>
        <tr r="K23" s="1"/>
      </tp>
      <tp t="s">
        <v>#N/A Requesting Data...1942174609</v>
        <stp/>
        <stp>BDP|10762752527584797154</stp>
        <tr r="F51" s="3"/>
      </tp>
      <tp t="s">
        <v>#N/A Requesting Data...3174133282</v>
        <stp/>
        <stp>BDP|12393128840755073267</stp>
        <tr r="D44" s="1"/>
      </tp>
      <tp t="s">
        <v>#N/A Requesting Data...1120703993</v>
        <stp/>
        <stp>BDP|10564418418235435117</stp>
        <tr r="D63" s="3"/>
      </tp>
      <tp t="s">
        <v>#N/A Requesting Data...1545377835</v>
        <stp/>
        <stp>BDP|17725941273539041194</stp>
        <tr r="D12" s="1"/>
      </tp>
      <tp t="s">
        <v>#N/A Requesting Data...1541292322</v>
        <stp/>
        <stp>BDP|17742423273421909479</stp>
        <tr r="B57" s="1"/>
      </tp>
      <tp t="s">
        <v>#N/A Requesting Data...877034040</v>
        <stp/>
        <stp>BDP|15917021272954056713</stp>
        <tr r="L58" s="1"/>
      </tp>
      <tp t="s">
        <v>#N/A Requesting Data...2317056138</v>
        <stp/>
        <stp>BDP|14511256166462380383</stp>
        <tr r="F40" s="3"/>
      </tp>
      <tp t="s">
        <v>#N/A Requesting Data...1672745425</v>
        <stp/>
        <stp>BDP|18070168976017485898</stp>
        <tr r="D39" s="8"/>
      </tp>
      <tp t="s">
        <v>#N/A Requesting Data...3127791008</v>
        <stp/>
        <stp>BDP|13744538013377361182</stp>
        <tr r="E59" s="1"/>
      </tp>
      <tp t="s">
        <v>#N/A Requesting Data...2459415488</v>
        <stp/>
        <stp>BDP|14992406875772600467</stp>
        <tr r="F55" s="3"/>
      </tp>
      <tp t="s">
        <v>#N/A Requesting Data...2438356782</v>
        <stp/>
        <stp>BDP|17535285575807592414</stp>
        <tr r="D41" s="1"/>
      </tp>
      <tp t="s">
        <v>#N/A Requesting Data...1947366185</v>
        <stp/>
        <stp>BDP|17801367218784184093</stp>
        <tr r="D12" s="3"/>
      </tp>
      <tp t="s">
        <v>#N/A Requesting Data...3162948609</v>
        <stp/>
        <stp>BDP|18052042280470987131</stp>
        <tr r="D49" s="8"/>
      </tp>
      <tp t="s">
        <v>#N/A Requesting Data...1260422276</v>
        <stp/>
        <stp>BDP|11711207088503726993</stp>
        <tr r="E51" s="1"/>
      </tp>
      <tp t="s">
        <v>#N/A Requesting Data...4086879832</v>
        <stp/>
        <stp>BDP|17196341857700744059</stp>
        <tr r="E11" s="1"/>
      </tp>
      <tp t="s">
        <v>#N/A Requesting Data...2480031081</v>
        <stp/>
        <stp>BDP|13167811431259431062</stp>
        <tr r="B61" s="1"/>
      </tp>
      <tp t="s">
        <v>#N/A Requesting Data...1919330802</v>
        <stp/>
        <stp>BDP|14131552901947594722</stp>
        <tr r="D13" s="1"/>
      </tp>
      <tp t="s">
        <v>#N/A Requesting Data...3797761231</v>
        <stp/>
        <stp>BDP|11214001240001745574</stp>
        <tr r="G50" s="1"/>
      </tp>
      <tp t="s">
        <v>#N/A Requesting Data...4180227684</v>
        <stp/>
        <stp>BDP|10044664605565439252</stp>
        <tr r="E55" s="1"/>
      </tp>
      <tp t="s">
        <v>#N/A Requesting Data...4148668582</v>
        <stp/>
        <stp>BDP|12167466157922033059</stp>
        <tr r="E8" s="1"/>
      </tp>
      <tp t="s">
        <v>#N/A Requesting Data...1243428838</v>
        <stp/>
        <stp>BDP|15631150636341904793</stp>
        <tr r="H33" s="1"/>
      </tp>
      <tp t="s">
        <v>#N/A Requesting Data...2382273515</v>
        <stp/>
        <stp>BDP|10266134742517097368</stp>
        <tr r="F34" s="1"/>
      </tp>
      <tp t="s">
        <v>#N/A Requesting Data...2635640298</v>
        <stp/>
        <stp>BDP|16060687478826110057</stp>
        <tr r="B19" s="1"/>
      </tp>
      <tp t="s">
        <v>#N/A Requesting Data...3443674220</v>
        <stp/>
        <stp>BDP|12395069504222723121</stp>
        <tr r="I58" s="1"/>
      </tp>
      <tp t="s">
        <v>#N/A Requesting Data...1926932257</v>
        <stp/>
        <stp>BDP|16052876745573066850</stp>
        <tr r="K60" s="1"/>
      </tp>
      <tp t="s">
        <v>#N/A Requesting Data...3899558200</v>
        <stp/>
        <stp>BDP|11203666426434242068</stp>
        <tr r="F52" s="3"/>
      </tp>
      <tp t="s">
        <v>#N/A Requesting Data...1835399672</v>
        <stp/>
        <stp>BDP|16662689558244663798</stp>
        <tr r="D45" s="1"/>
      </tp>
      <tp t="s">
        <v>#N/A Requesting Data...2516671719</v>
        <stp/>
        <stp>BDP|10995922780246015103</stp>
        <tr r="B12" s="1"/>
      </tp>
      <tp t="s">
        <v>#N/A Requesting Data...1529476376</v>
        <stp/>
        <stp>BDP|16769420667905177787</stp>
        <tr r="L60" s="1"/>
      </tp>
      <tp t="s">
        <v>#N/A Requesting Data...548979359</v>
        <stp/>
        <stp>BDP|17613621712083938555</stp>
        <tr r="J15" s="1"/>
      </tp>
      <tp t="s">
        <v>#N/A Requesting Data...678455772</v>
        <stp/>
        <stp>BDP|12849282059954687753</stp>
        <tr r="E30" s="1"/>
      </tp>
      <tp t="s">
        <v>#N/A Requesting Data...1341259254</v>
        <stp/>
        <stp>BDP|17087175012401907010</stp>
        <tr r="J60" s="1"/>
      </tp>
      <tp t="s">
        <v>#N/A Requesting Data...1834169321</v>
        <stp/>
        <stp>BDP|17791085465112168566</stp>
        <tr r="C21" s="8"/>
      </tp>
      <tp t="s">
        <v>#N/A Requesting Data...3898208493</v>
        <stp/>
        <stp>BDP|12799535737223617192</stp>
        <tr r="D43" s="8"/>
      </tp>
      <tp t="s">
        <v>#N/A Requesting Data...2232749944</v>
        <stp/>
        <stp>BDP|10024312576236235492</stp>
        <tr r="H7" s="1"/>
      </tp>
      <tp t="s">
        <v>#N/A Requesting Data...1670763021</v>
        <stp/>
        <stp>BDP|12549480912179000835</stp>
        <tr r="D11" s="1"/>
      </tp>
      <tp t="s">
        <v>#N/A Requesting Data...3081575667</v>
        <stp/>
        <stp>BDP|14726389010188750848</stp>
        <tr r="H36" s="1"/>
      </tp>
      <tp t="s">
        <v>#N/A Requesting Data...3553198069</v>
        <stp/>
        <stp>BDP|17108302404896323486</stp>
        <tr r="F6" s="3"/>
      </tp>
      <tp t="s">
        <v>#N/A Requesting Data...1458963387</v>
        <stp/>
        <stp>BDP|13712473326623579022</stp>
        <tr r="G33" s="1"/>
      </tp>
      <tp t="s">
        <v>#N/A Requesting Data...2499541345</v>
        <stp/>
        <stp>BDP|11418495358657465102</stp>
        <tr r="J5" s="1"/>
      </tp>
      <tp t="s">
        <v>#N/A Requesting Data...1726896841</v>
        <stp/>
        <stp>BDP|13721916286134065002</stp>
        <tr r="D56" s="3"/>
      </tp>
      <tp t="s">
        <v>#N/A Requesting Data...3818967507</v>
        <stp/>
        <stp>BDP|11371244746515779465</stp>
        <tr r="I35" s="1"/>
      </tp>
      <tp t="s">
        <v>#N/A Requesting Data...504318531</v>
        <stp/>
        <stp>BDP|14109014578481399484</stp>
        <tr r="H15" s="1"/>
      </tp>
      <tp t="s">
        <v>#N/A Requesting Data...4224037812</v>
        <stp/>
        <stp>BDP|16351862254268708552</stp>
        <tr r="J51" s="1"/>
      </tp>
      <tp t="s">
        <v>#N/A Requesting Data...3595132614</v>
        <stp/>
        <stp>BDP|17210459914506336222</stp>
        <tr r="D38" s="3"/>
      </tp>
      <tp t="s">
        <v>#N/A Requesting Data...1491022978</v>
        <stp/>
        <stp>BDP|11746987418237272876</stp>
        <tr r="D20" s="3"/>
      </tp>
      <tp t="s">
        <v>#N/A Requesting Data...930192490</v>
        <stp/>
        <stp>BDP|10601304936124748254</stp>
        <tr r="D50" s="8"/>
      </tp>
      <tp t="s">
        <v>#N/A Requesting Data...3387151505</v>
        <stp/>
        <stp>BDP|10167526720682416327</stp>
        <tr r="I34" s="1"/>
      </tp>
      <tp t="s">
        <v>#N/A Requesting Data...4105778161</v>
        <stp/>
        <stp>BDP|17340018200758569935</stp>
        <tr r="L36" s="1"/>
      </tp>
      <tp t="s">
        <v>#N/A Requesting Data...839026730</v>
        <stp/>
        <stp>BDP|17949557163111835333</stp>
        <tr r="D34" s="8"/>
      </tp>
      <tp t="s">
        <v>#N/A Requesting Data...946572769</v>
        <stp/>
        <stp>BDP|18436211692433101620</stp>
        <tr r="L26" s="1"/>
      </tp>
      <tp t="s">
        <v>#N/A Requesting Data...3443036775</v>
        <stp/>
        <stp>BDP|17333952097945266441</stp>
        <tr r="D6" s="8"/>
      </tp>
      <tp t="s">
        <v>#N/A Requesting Data...4169670791</v>
        <stp/>
        <stp>BDP|12931610639859773800</stp>
        <tr r="F26" s="1"/>
      </tp>
      <tp t="s">
        <v>#N/A Requesting Data...1959035562</v>
        <stp/>
        <stp>BDP|15260045608781574328</stp>
        <tr r="J61" s="1"/>
      </tp>
      <tp t="s">
        <v>#N/A Requesting Data...3966959488</v>
        <stp/>
        <stp>BDP|13715390950383672111</stp>
        <tr r="D26" s="1"/>
      </tp>
      <tp t="s">
        <v>#N/A Requesting Data...823280967</v>
        <stp/>
        <stp>BDP|17258886855755004874</stp>
        <tr r="L50" s="1"/>
      </tp>
      <tp t="s">
        <v>#N/A Requesting Data...2004150525</v>
        <stp/>
        <stp>BDP|14434191672032027759</stp>
        <tr r="K62" s="1"/>
      </tp>
      <tp t="s">
        <v>#N/A Requesting Data...827955988</v>
        <stp/>
        <stp>BDP|13675231918910721700</stp>
        <tr r="C42" s="8"/>
      </tp>
      <tp t="s">
        <v>#N/A Requesting Data...3880859571</v>
        <stp/>
        <stp>BDP|18231971538431423439</stp>
        <tr r="I46" s="1"/>
      </tp>
      <tp t="s">
        <v>#N/A Requesting Data...3764286082</v>
        <stp/>
        <stp>BDP|17455961581756803716</stp>
        <tr r="D40" s="8"/>
      </tp>
      <tp t="s">
        <v>#N/A Requesting Data...1268797812</v>
        <stp/>
        <stp>BDP|12517495825655285675</stp>
        <tr r="F2" s="3"/>
      </tp>
      <tp t="s">
        <v>#N/A Requesting Data...1112251611</v>
        <stp/>
        <stp>BDP|15552566274137262795</stp>
        <tr r="H11" s="1"/>
      </tp>
      <tp t="s">
        <v>#N/A Requesting Data...1756073825</v>
        <stp/>
        <stp>BDP|14566382312257534660</stp>
        <tr r="B10" s="1"/>
      </tp>
      <tp t="s">
        <v>#N/A Requesting Data...3749607100</v>
        <stp/>
        <stp>BDP|12096491012869529926</stp>
        <tr r="C44" s="8"/>
      </tp>
      <tp t="s">
        <v>#N/A Requesting Data...3795848971</v>
        <stp/>
        <stp>BDP|14793918292101867239</stp>
        <tr r="B22" s="1"/>
      </tp>
      <tp t="s">
        <v>#N/A Requesting Data...1529244589</v>
        <stp/>
        <stp>BDP|15346380324012913199</stp>
        <tr r="D22" s="8"/>
      </tp>
      <tp t="s">
        <v>#N/A Requesting Data...2504038827</v>
        <stp/>
        <stp>BDP|13587837057668793191</stp>
        <tr r="K48" s="1"/>
      </tp>
      <tp t="s">
        <v>#N/A Requesting Data...4041610585</v>
        <stp/>
        <stp>BDP|10764657673157608185</stp>
        <tr r="C22" s="8"/>
      </tp>
      <tp t="s">
        <v>#N/A Requesting Data...790836559</v>
        <stp/>
        <stp>BDP|10179618359506651216</stp>
        <tr r="E9" s="1"/>
      </tp>
      <tp t="s">
        <v>#N/A Requesting Data...2790791376</v>
        <stp/>
        <stp>BDP|12500973909538728425</stp>
        <tr r="F38" s="1"/>
      </tp>
      <tp t="s">
        <v>#N/A Requesting Data...2658871396</v>
        <stp/>
        <stp>BDP|14867770990299739496</stp>
        <tr r="C59" s="8"/>
      </tp>
      <tp t="s">
        <v>#N/A Requesting Data...910309123</v>
        <stp/>
        <stp>BDP|11835696422063757150</stp>
        <tr r="B33" s="1"/>
      </tp>
      <tp t="s">
        <v>#N/A Requesting Data...1069547125</v>
        <stp/>
        <stp>BDP|14468635033053211576</stp>
        <tr r="F33" s="3"/>
      </tp>
      <tp t="s">
        <v>#N/A Requesting Data...708385535</v>
        <stp/>
        <stp>BDP|17383590572667003581</stp>
        <tr r="E38" s="1"/>
      </tp>
      <tp t="s">
        <v>#N/A Requesting Data...2348287782</v>
        <stp/>
        <stp>BDP|11643226505440234409</stp>
        <tr r="C24" s="8"/>
      </tp>
      <tp t="s">
        <v>#N/A Requesting Data...2964852746</v>
        <stp/>
        <stp>BDP|14570871921461577856</stp>
        <tr r="D7" s="8"/>
      </tp>
      <tp t="s">
        <v>#N/A Requesting Data...2594724120</v>
        <stp/>
        <stp>BDP|11327996799350257622</stp>
        <tr r="D25" s="1"/>
      </tp>
      <tp t="s">
        <v>#N/A Requesting Data...3001797380</v>
        <stp/>
        <stp>BDP|11867319692705859915</stp>
        <tr r="L38" s="1"/>
      </tp>
      <tp t="s">
        <v>#N/A Requesting Data...4255840950</v>
        <stp/>
        <stp>BDP|18079148880802059413</stp>
        <tr r="E37" s="1"/>
      </tp>
      <tp t="s">
        <v>#N/A Requesting Data...1772516071</v>
        <stp/>
        <stp>BDP|17595598388745978880</stp>
        <tr r="G23" s="1"/>
      </tp>
      <tp t="s">
        <v>#N/A Requesting Data...1729237765</v>
        <stp/>
        <stp>BDP|11311330850560766024</stp>
        <tr r="I20" s="1"/>
      </tp>
      <tp t="s">
        <v>#N/A Requesting Data...3671549269</v>
        <stp/>
        <stp>BDP|11164052037523121669</stp>
        <tr r="F15" s="3"/>
      </tp>
      <tp t="s">
        <v>#N/A Requesting Data...2485122730</v>
        <stp/>
        <stp>BDP|18006566126408395044</stp>
        <tr r="D52" s="1"/>
      </tp>
      <tp t="s">
        <v>#N/A Requesting Data...1831801980</v>
        <stp/>
        <stp>BDP|12106776790873748867</stp>
        <tr r="J25" s="1"/>
      </tp>
      <tp t="s">
        <v>#N/A Requesting Data...2396138101</v>
        <stp/>
        <stp>BDP|16399256521461385028</stp>
        <tr r="F24" s="3"/>
      </tp>
      <tp t="s">
        <v>#N/A Requesting Data...4231533698</v>
        <stp/>
        <stp>BDP|17006922027482189926</stp>
        <tr r="F58" s="1"/>
      </tp>
      <tp t="s">
        <v>#N/A Requesting Data...2460346515</v>
        <stp/>
        <stp>BDP|12132404156743892796</stp>
        <tr r="I15" s="1"/>
      </tp>
      <tp t="s">
        <v>#N/A Requesting Data...3282149133</v>
        <stp/>
        <stp>BDP|13769848865598639267</stp>
        <tr r="G16" s="1"/>
      </tp>
      <tp t="s">
        <v>#N/A Requesting Data...2433642858</v>
        <stp/>
        <stp>BDP|16743792428126230229</stp>
        <tr r="J9" s="1"/>
      </tp>
      <tp t="s">
        <v>#N/A Requesting Data...669101067</v>
        <stp/>
        <stp>BDP|15190119794121874848</stp>
        <tr r="H40" s="1"/>
      </tp>
      <tp t="s">
        <v>#N/A Requesting Data...2583890443</v>
        <stp/>
        <stp>BDP|17142342312512664394</stp>
        <tr r="H59" s="1"/>
      </tp>
      <tp t="s">
        <v>#N/A Requesting Data...3890795772</v>
        <stp/>
        <stp>BDP|12100332052542022285</stp>
        <tr r="D63" s="1"/>
      </tp>
      <tp t="s">
        <v>#N/A Requesting Data...1814242928</v>
        <stp/>
        <stp>BDP|15782674611720087696</stp>
        <tr r="C41" s="8"/>
      </tp>
      <tp t="s">
        <v>#N/A Requesting Data...3941618348</v>
        <stp/>
        <stp>BDP|12480831812327759886</stp>
        <tr r="L9" s="1"/>
      </tp>
      <tp t="s">
        <v>#N/A Requesting Data...3455294876</v>
        <stp/>
        <stp>BDP|15843451470941462354</stp>
        <tr r="D28" s="3"/>
      </tp>
      <tp t="s">
        <v>#N/A Requesting Data...1920675020</v>
        <stp/>
        <stp>BDP|17784891675188389468</stp>
        <tr r="L65" s="1"/>
      </tp>
      <tp t="s">
        <v>#N/A Requesting Data...2606454485</v>
        <stp/>
        <stp>BDP|18153966103670804523</stp>
        <tr r="J7" s="1"/>
      </tp>
      <tp t="s">
        <v>#N/A Requesting Data...2056167450</v>
        <stp/>
        <stp>BDP|11751134969535519763</stp>
        <tr r="H6" s="1"/>
      </tp>
      <tp t="s">
        <v>#N/A Requesting Data...1003304263</v>
        <stp/>
        <stp>BDP|13641368383008727453</stp>
        <tr r="G11" s="1"/>
      </tp>
      <tp t="s">
        <v>#N/A Requesting Data...1369412387</v>
        <stp/>
        <stp>BDP|14990913292096846620</stp>
        <tr r="K9" s="1"/>
      </tp>
      <tp t="s">
        <v>#N/A Requesting Data...2193505847</v>
        <stp/>
        <stp>BDP|17538327504801482172</stp>
        <tr r="H53" s="1"/>
      </tp>
      <tp t="s">
        <v>#N/A Requesting Data...2514352175</v>
        <stp/>
        <stp>BDP|13744249655935166542</stp>
        <tr r="F17" s="3"/>
      </tp>
      <tp t="s">
        <v>#N/A Requesting Data...4197980914</v>
        <stp/>
        <stp>BDP|12110225943890758058</stp>
        <tr r="D14" s="1"/>
      </tp>
      <tp t="s">
        <v>#N/A Requesting Data...708559295</v>
        <stp/>
        <stp>BDP|12098516004051608219</stp>
        <tr r="F59" s="1"/>
      </tp>
      <tp t="s">
        <v>#N/A Requesting Data...2088658389</v>
        <stp/>
        <stp>BDP|17046584039653457619</stp>
        <tr r="E43" s="1"/>
      </tp>
      <tp t="s">
        <v>#N/A Requesting Data...1233568100</v>
        <stp/>
        <stp>BDP|10464229250553717058</stp>
        <tr r="D5" s="8"/>
      </tp>
      <tp t="s">
        <v>#N/A Requesting Data...4017503260</v>
        <stp/>
        <stp>BDP|10201929415138798466</stp>
        <tr r="H19" s="1"/>
      </tp>
      <tp t="s">
        <v>#N/A Requesting Data...2872449412</v>
        <stp/>
        <stp>BDP|13556743410046320761</stp>
        <tr r="D12" s="8"/>
      </tp>
      <tp t="s">
        <v>#N/A Requesting Data...1527416195</v>
        <stp/>
        <stp>BDP|17274576682369303706</stp>
        <tr r="F36" s="1"/>
      </tp>
      <tp t="s">
        <v>#N/A Requesting Data...1902003638</v>
        <stp/>
        <stp>BDP|10893502819362157260</stp>
        <tr r="L45" s="1"/>
      </tp>
      <tp t="s">
        <v>#N/A Requesting Data...726538468</v>
        <stp/>
        <stp>BDP|14442009042961757570</stp>
        <tr r="B62" s="1"/>
      </tp>
      <tp t="s">
        <v>#N/A Requesting Data...4059508550</v>
        <stp/>
        <stp>BDP|17131679546915007463</stp>
        <tr r="L54" s="1"/>
      </tp>
      <tp t="s">
        <v>#N/A N/A</v>
        <stp/>
        <stp>BDP|12149712252315578116</stp>
        <tr r="C38" s="8"/>
      </tp>
      <tp t="s">
        <v>#N/A Requesting Data...4028245170</v>
        <stp/>
        <stp>BDP|17414714137853999531</stp>
        <tr r="I48" s="1"/>
      </tp>
      <tp t="s">
        <v>#N/A Requesting Data...2130468178</v>
        <stp/>
        <stp>BDP|10994261167543763240</stp>
        <tr r="I50" s="1"/>
      </tp>
      <tp t="s">
        <v>#N/A Requesting Data...2704812330</v>
        <stp/>
        <stp>BDP|14486283944272412564</stp>
        <tr r="H58" s="1"/>
      </tp>
      <tp t="s">
        <v>#N/A Requesting Data...4166138283</v>
        <stp/>
        <stp>BDP|14847462904046192364</stp>
        <tr r="L47" s="1"/>
      </tp>
      <tp t="s">
        <v>#N/A Requesting Data...2763239128</v>
        <stp/>
        <stp>BDP|17098788547242796356</stp>
        <tr r="D62" s="3"/>
      </tp>
      <tp t="s">
        <v>#N/A Requesting Data...1916690930</v>
        <stp/>
        <stp>BDP|16038594147832515068</stp>
        <tr r="D23" s="8"/>
      </tp>
      <tp t="s">
        <v>#N/A Requesting Data...1757456233</v>
        <stp/>
        <stp>BDP|14098433094438833428</stp>
        <tr r="I9" s="1"/>
      </tp>
      <tp t="s">
        <v>#N/A Requesting Data...3180606719</v>
        <stp/>
        <stp>BDP|13156591377765271115</stp>
        <tr r="D19" s="1"/>
      </tp>
      <tp t="s">
        <v>#N/A Requesting Data...1050430347</v>
        <stp/>
        <stp>BDP|12775797937661186274</stp>
        <tr r="L34" s="1"/>
      </tp>
      <tp t="s">
        <v>#N/A Requesting Data...818861319</v>
        <stp/>
        <stp>BDP|17980097351645949275</stp>
        <tr r="F56" s="3"/>
      </tp>
      <tp t="s">
        <v>#N/A Requesting Data...1701958085</v>
        <stp/>
        <stp>BDP|12722791166276956014</stp>
        <tr r="H63" s="1"/>
      </tp>
      <tp t="s">
        <v>#N/A Requesting Data...3844066017</v>
        <stp/>
        <stp>BDP|15084513064683477025</stp>
        <tr r="L16" s="1"/>
      </tp>
      <tp t="s">
        <v>#N/A Requesting Data...2381499279</v>
        <stp/>
        <stp>BDP|14762703724335730177</stp>
        <tr r="G65" s="1"/>
      </tp>
      <tp t="s">
        <v>#N/A N/A</v>
        <stp/>
        <stp>BDP|13527553832030916086</stp>
        <tr r="C37" s="8"/>
      </tp>
      <tp t="s">
        <v>#N/A Requesting Data...2419631505</v>
        <stp/>
        <stp>BDP|16490878377924143877</stp>
        <tr r="K44" s="1"/>
      </tp>
      <tp t="s">
        <v>#N/A Requesting Data...1924341137</v>
        <stp/>
        <stp>BDP|10720868801094483962</stp>
        <tr r="I29" s="1"/>
      </tp>
      <tp t="s">
        <v>#N/A Requesting Data...4192725148</v>
        <stp/>
        <stp>BDP|16633484251406436497</stp>
        <tr r="H30" s="1"/>
      </tp>
      <tp t="s">
        <v>#N/A Requesting Data...3028839159</v>
        <stp/>
        <stp>BDP|16129160273345222039</stp>
        <tr r="H22" s="1"/>
      </tp>
      <tp t="s">
        <v>#N/A Requesting Data...2426358638</v>
        <stp/>
        <stp>BDP|17456869360964187863</stp>
        <tr r="D32" s="3"/>
      </tp>
      <tp t="s">
        <v>#N/A Requesting Data...3435249851</v>
        <stp/>
        <stp>BDP|12312408525684193526</stp>
        <tr r="D53" s="8"/>
      </tp>
      <tp t="s">
        <v>#N/A Requesting Data...1943500565</v>
        <stp/>
        <stp>BDP|13272172762573730249</stp>
        <tr r="D24" s="8"/>
      </tp>
      <tp t="s">
        <v>#N/A Requesting Data...4087478166</v>
        <stp/>
        <stp>BDP|17348090709487033573</stp>
        <tr r="D30" s="1"/>
      </tp>
      <tp t="s">
        <v>#N/A Requesting Data...2143359695</v>
        <stp/>
        <stp>BDP|13177620651005158041</stp>
        <tr r="F4" s="3"/>
      </tp>
      <tp t="s">
        <v>#N/A Requesting Data...2428455270</v>
        <stp/>
        <stp>BDP|16239553707741555723</stp>
        <tr r="B44" s="1"/>
      </tp>
      <tp t="s">
        <v>#N/A Requesting Data...2059166429</v>
        <stp/>
        <stp>BDP|16530938952239395600</stp>
        <tr r="D15" s="8"/>
      </tp>
      <tp t="s">
        <v>#N/A Requesting Data...4238095467</v>
        <stp/>
        <stp>BDP|16989662057670739088</stp>
        <tr r="E14" s="1"/>
      </tp>
      <tp t="s">
        <v>#N/A Requesting Data...1818639784</v>
        <stp/>
        <stp>BDP|17149621173790720310</stp>
        <tr r="I52" s="1"/>
      </tp>
    </main>
    <main first="bofaddin.rtdserver">
      <tp t="s">
        <v>#N/A Requesting Data...2642094830</v>
        <stp/>
        <stp>BDP|8816482625734923668</stp>
        <tr r="E3" s="1"/>
      </tp>
      <tp t="s">
        <v>#N/A Requesting Data...2948456399</v>
        <stp/>
        <stp>BDP|3649727519659367053</stp>
        <tr r="F5" s="3"/>
      </tp>
      <tp t="s">
        <v>#N/A Requesting Data...3682264457</v>
        <stp/>
        <stp>BDP|5682939054143317692</stp>
        <tr r="B26" s="1"/>
      </tp>
      <tp t="s">
        <v>#N/A Requesting Data...1290362745</v>
        <stp/>
        <stp>BDP|5255133563536039895</stp>
        <tr r="K13" s="1"/>
      </tp>
      <tp t="s">
        <v>#N/A Requesting Data...2882783372</v>
        <stp/>
        <stp>BDP|9758535629883462111</stp>
        <tr r="C15" s="8"/>
      </tp>
      <tp t="s">
        <v>#N/A Requesting Data...4232723256</v>
        <stp/>
        <stp>BDP|4010133108028125145</stp>
        <tr r="I49" s="1"/>
      </tp>
      <tp t="s">
        <v>#N/A Requesting Data...1097319129</v>
        <stp/>
        <stp>BDP|7103285303801423816</stp>
        <tr r="E34" s="1"/>
      </tp>
      <tp t="s">
        <v>#N/A Requesting Data...3141301522</v>
        <stp/>
        <stp>BDP|2163911433371741586</stp>
        <tr r="D31" s="3"/>
      </tp>
      <tp t="s">
        <v>#N/A Requesting Data...3700509438</v>
        <stp/>
        <stp>BDP|2371379780763092695</stp>
        <tr r="B41" s="1"/>
      </tp>
      <tp t="s">
        <v>#N/A Requesting Data...3744023953</v>
        <stp/>
        <stp>BDP|1505315307247294937</stp>
        <tr r="L18" s="1"/>
      </tp>
      <tp t="s">
        <v>#N/A Requesting Data...1003367998</v>
        <stp/>
        <stp>BDP|4252589887322735780</stp>
        <tr r="G56" s="1"/>
      </tp>
      <tp t="s">
        <v>#N/A Requesting Data...2383713914</v>
        <stp/>
        <stp>BDP|6822604488876104231</stp>
        <tr r="G36" s="1"/>
      </tp>
      <tp t="s">
        <v>#N/A Requesting Data...3140254188</v>
        <stp/>
        <stp>BDP|8526371992168255606</stp>
        <tr r="F63" s="3"/>
      </tp>
      <tp t="s">
        <v>#N/A Requesting Data...3861338671</v>
        <stp/>
        <stp>BDP|9251963596226703377</stp>
        <tr r="H35" s="1"/>
      </tp>
      <tp t="s">
        <v>#N/A Requesting Data...830187272</v>
        <stp/>
        <stp>BDP|6614972971651390519</stp>
        <tr r="J48" s="1"/>
      </tp>
      <tp t="s">
        <v>#N/A Requesting Data...934098071</v>
        <stp/>
        <stp>BDP|8528643520247711751</stp>
        <tr r="E15" s="1"/>
      </tp>
      <tp t="s">
        <v>#N/A Requesting Data...2200921588</v>
        <stp/>
        <stp>BDP|1257691888627594458</stp>
        <tr r="B56" s="1"/>
      </tp>
      <tp t="s">
        <v>#N/A Requesting Data...2554420784</v>
        <stp/>
        <stp>BDP|8149839363188420268</stp>
        <tr r="J47" s="1"/>
      </tp>
      <tp t="s">
        <v>#N/A Requesting Data...847198210</v>
        <stp/>
        <stp>BDP|9308355192468442709</stp>
        <tr r="D58" s="8"/>
      </tp>
      <tp t="s">
        <v>#N/A Requesting Data...3927662414</v>
        <stp/>
        <stp>BDP|8664537366076324101</stp>
        <tr r="B42" s="1"/>
      </tp>
      <tp t="s">
        <v>#N/A Requesting Data...1005972020</v>
        <stp/>
        <stp>BDP|3256042296157957194</stp>
        <tr r="H24" s="1"/>
      </tp>
      <tp t="s">
        <v>#N/A Requesting Data...1254437413</v>
        <stp/>
        <stp>BDP|9392562652475408026</stp>
        <tr r="F3" s="3"/>
      </tp>
      <tp t="s">
        <v>#N/A Requesting Data...2304917692</v>
        <stp/>
        <stp>BDP|8809157959780586075</stp>
        <tr r="C11" s="8"/>
      </tp>
      <tp t="s">
        <v>#N/A Requesting Data...2194290084</v>
        <stp/>
        <stp>BDP|4126840022740156200</stp>
        <tr r="G60" s="1"/>
      </tp>
      <tp t="s">
        <v>#N/A Requesting Data...2511386522</v>
        <stp/>
        <stp>BDP|1869654066264493999</stp>
        <tr r="J52" s="1"/>
      </tp>
      <tp t="s">
        <v>#N/A Requesting Data...3608325176</v>
        <stp/>
        <stp>BDP|2719509410303782974</stp>
        <tr r="F44" s="3"/>
      </tp>
      <tp t="s">
        <v>#N/A Requesting Data...3873428445</v>
        <stp/>
        <stp>BDP|5280410350129321151</stp>
        <tr r="D6" s="1"/>
      </tp>
      <tp t="s">
        <v>#N/A Requesting Data...968607687</v>
        <stp/>
        <stp>BDP|2017299264468982219</stp>
        <tr r="D27" s="8"/>
      </tp>
      <tp t="s">
        <v>#N/A Requesting Data...1525964777</v>
        <stp/>
        <stp>BDP|7777374768988580682</stp>
        <tr r="J44" s="1"/>
      </tp>
      <tp t="s">
        <v>#N/A Requesting Data...1611239285</v>
        <stp/>
        <stp>BDP|1965588954285932898</stp>
        <tr r="K19" s="1"/>
      </tp>
      <tp t="s">
        <v>#N/A Requesting Data...681249160</v>
        <stp/>
        <stp>BDP|5034693325308582420</stp>
        <tr r="F12" s="1"/>
      </tp>
      <tp t="s">
        <v>#N/A Requesting Data...1969233091</v>
        <stp/>
        <stp>BDP|6337893854291709722</stp>
        <tr r="C26" s="8"/>
      </tp>
      <tp t="s">
        <v>#N/A Requesting Data...700210839</v>
        <stp/>
        <stp>BDP|9372658469693481703</stp>
        <tr r="F24" s="1"/>
      </tp>
      <tp t="s">
        <v>#N/A Requesting Data...1368656610</v>
        <stp/>
        <stp>BDP|1958963778235520790</stp>
        <tr r="L22" s="1"/>
      </tp>
      <tp t="s">
        <v>#N/A Requesting Data...3952011449</v>
        <stp/>
        <stp>BDP|4770084796405380524</stp>
        <tr r="G40" s="1"/>
      </tp>
      <tp t="s">
        <v>#N/A Requesting Data...3536093289</v>
        <stp/>
        <stp>BDP|6665945768420630447</stp>
        <tr r="G9" s="1"/>
      </tp>
      <tp t="s">
        <v>#N/A Requesting Data...3538013365</v>
        <stp/>
        <stp>BDP|9439178972296832401</stp>
        <tr r="G19" s="1"/>
      </tp>
      <tp t="s">
        <v>#N/A Requesting Data...3967877641</v>
        <stp/>
        <stp>BDP|8826773350030992783</stp>
        <tr r="G28" s="1"/>
      </tp>
      <tp t="s">
        <v>#N/A Requesting Data...3765967575</v>
        <stp/>
        <stp>BDP|6179122195786009588</stp>
        <tr r="C27" s="8"/>
      </tp>
      <tp t="s">
        <v>#N/A Requesting Data...3140578402</v>
        <stp/>
        <stp>BDP|5085361999360986280</stp>
        <tr r="C3" s="8"/>
      </tp>
      <tp t="s">
        <v>#N/A Requesting Data...1729893913</v>
        <stp/>
        <stp>BDP|9259326534791820522</stp>
        <tr r="D20" s="1"/>
      </tp>
      <tp t="s">
        <v>#N/A Requesting Data...3696510555</v>
        <stp/>
        <stp>BDP|2062137012816786999</stp>
        <tr r="L8" s="1"/>
      </tp>
      <tp t="s">
        <v>#N/A Requesting Data...840088217</v>
        <stp/>
        <stp>BDP|9946963109969018492</stp>
        <tr r="L12" s="1"/>
      </tp>
      <tp t="s">
        <v>#N/A Requesting Data...1424707587</v>
        <stp/>
        <stp>BDP|2048468316729804375</stp>
        <tr r="C56" s="8"/>
      </tp>
      <tp t="s">
        <v>#N/A Requesting Data...3670176185</v>
        <stp/>
        <stp>BDP|2820406483264203765</stp>
        <tr r="H20" s="1"/>
      </tp>
      <tp t="s">
        <v>#N/A Requesting Data...2461876186</v>
        <stp/>
        <stp>BDP|2637780083471045121</stp>
        <tr r="D43" s="3"/>
      </tp>
      <tp t="s">
        <v>#N/A Requesting Data...1925346795</v>
        <stp/>
        <stp>BDP|4699782699190318781</stp>
        <tr r="G55" s="1"/>
      </tp>
      <tp t="s">
        <v>#N/A Requesting Data...2116747695</v>
        <stp/>
        <stp>BDP|6006127168209061564</stp>
        <tr r="G24" s="1"/>
      </tp>
      <tp t="s">
        <v>#N/A Requesting Data...2440404058</v>
        <stp/>
        <stp>BDP|6359133124039132184</stp>
        <tr r="F52" s="1"/>
      </tp>
      <tp t="s">
        <v>#N/A Requesting Data...2485125612</v>
        <stp/>
        <stp>BDP|5395810477983852401</stp>
        <tr r="H52" s="1"/>
      </tp>
      <tp t="s">
        <v>#N/A Requesting Data...1898960687</v>
        <stp/>
        <stp>BDP|9438475838810157394</stp>
        <tr r="D43" s="1"/>
      </tp>
      <tp t="s">
        <v>#N/A Requesting Data...3611562619</v>
        <stp/>
        <stp>BDP|5333922594018040055</stp>
        <tr r="H31" s="1"/>
      </tp>
      <tp t="s">
        <v>#N/A Requesting Data...3043124337</v>
        <stp/>
        <stp>BDP|8151045165342443156</stp>
        <tr r="I25" s="1"/>
      </tp>
      <tp t="s">
        <v>#N/A Requesting Data...3188142792</v>
        <stp/>
        <stp>BDP|4478407497006251204</stp>
        <tr r="L17" s="1"/>
      </tp>
      <tp t="s">
        <v>#N/A Requesting Data...1252588486</v>
        <stp/>
        <stp>BDP|9669124792075671967</stp>
        <tr r="K65" s="1"/>
      </tp>
      <tp t="s">
        <v>#N/A Requesting Data...3336053382</v>
        <stp/>
        <stp>BDP|5644306993061393319</stp>
        <tr r="H56" s="1"/>
      </tp>
      <tp t="s">
        <v>#N/A Requesting Data...794552209</v>
        <stp/>
        <stp>BDP|8252080106536237394</stp>
        <tr r="G29" s="1"/>
      </tp>
      <tp t="s">
        <v>#N/A Requesting Data...1072561200</v>
        <stp/>
        <stp>BDP|7930939295909807305</stp>
        <tr r="D37" s="3"/>
      </tp>
      <tp t="s">
        <v>#N/A Requesting Data...1078572426</v>
        <stp/>
        <stp>BDP|6295735390763060645</stp>
        <tr r="K49" s="1"/>
      </tp>
      <tp t="s">
        <v>#N/A Requesting Data...1622338605</v>
        <stp/>
        <stp>BDP|8171972000855031935</stp>
        <tr r="K35" s="1"/>
      </tp>
      <tp t="s">
        <v>#N/A Requesting Data...2587740146</v>
        <stp/>
        <stp>BDP|2835460931921996932</stp>
        <tr r="F19" s="3"/>
      </tp>
      <tp t="s">
        <v>#N/A Requesting Data...2314943687</v>
        <stp/>
        <stp>BDP|2462102182750048635</stp>
        <tr r="J35" s="1"/>
      </tp>
      <tp t="s">
        <v>#N/A Requesting Data...3114114848</v>
        <stp/>
        <stp>BDP|6505088411918339158</stp>
        <tr r="D29" s="8"/>
      </tp>
      <tp t="s">
        <v>#N/A Requesting Data...2758264701</v>
        <stp/>
        <stp>BDP|4433180483791606231</stp>
        <tr r="F28" s="1"/>
      </tp>
      <tp t="s">
        <v>#N/A Requesting Data...1598001517</v>
        <stp/>
        <stp>BDP|6529178208450114903</stp>
        <tr r="K61" s="1"/>
      </tp>
      <tp t="s">
        <v>#N/A Requesting Data...3674671147</v>
        <stp/>
        <stp>BDP|8897174320590492501</stp>
        <tr r="K4" s="1"/>
      </tp>
      <tp t="s">
        <v>#N/A Requesting Data...979302920</v>
        <stp/>
        <stp>BDP|7154546460969874369</stp>
        <tr r="D14" s="3"/>
      </tp>
      <tp t="s">
        <v>#N/A Requesting Data...1307718243</v>
        <stp/>
        <stp>BDP|5388163325039169196</stp>
        <tr r="F66" s="1"/>
      </tp>
      <tp t="s">
        <v>#N/A N/A</v>
        <stp/>
        <stp>BDP|9908732079726926126</stp>
        <tr r="C51" s="8"/>
      </tp>
      <tp t="s">
        <v>#N/A Requesting Data...2258392832</v>
        <stp/>
        <stp>BDP|2936786787322893104</stp>
        <tr r="E6" s="1"/>
      </tp>
      <tp t="s">
        <v>#N/A Requesting Data...3077885531</v>
        <stp/>
        <stp>BDP|5898870717605727709</stp>
        <tr r="E4" s="1"/>
      </tp>
      <tp t="s">
        <v>#N/A Requesting Data...2531456093</v>
        <stp/>
        <stp>BDP|8504349624093801414</stp>
        <tr r="K8" s="1"/>
      </tp>
      <tp t="s">
        <v>#N/A Requesting Data...2457153847</v>
        <stp/>
        <stp>BDP|9841931866711451955</stp>
        <tr r="H38" s="1"/>
      </tp>
      <tp t="s">
        <v>#N/A Requesting Data...2305502272</v>
        <stp/>
        <stp>BDP|1967806144640848385</stp>
        <tr r="I39" s="1"/>
      </tp>
      <tp t="s">
        <v>#N/A Requesting Data...3228689111</v>
        <stp/>
        <stp>BDP|5063365133152131968</stp>
        <tr r="C6" s="8"/>
      </tp>
      <tp t="s">
        <v>#N/A Requesting Data...1574282578</v>
        <stp/>
        <stp>BDP|2290952758777526784</stp>
        <tr r="D3" s="1"/>
      </tp>
      <tp t="s">
        <v>#N/A Requesting Data...3076520541</v>
        <stp/>
        <stp>BDP|4914582104376676917</stp>
        <tr r="D3" s="3"/>
      </tp>
      <tp t="s">
        <v>#N/A Requesting Data...3539218421</v>
        <stp/>
        <stp>BDP|2229387797242916466</stp>
        <tr r="D56" s="1"/>
      </tp>
      <tp t="s">
        <v>#N/A Requesting Data...1377180858</v>
        <stp/>
        <stp>BDP|8273015142505730743</stp>
        <tr r="I54" s="1"/>
      </tp>
      <tp t="s">
        <v>#N/A Requesting Data...2734371277</v>
        <stp/>
        <stp>BDP|6097599923408866719</stp>
        <tr r="D34" s="1"/>
      </tp>
      <tp t="s">
        <v>#N/A Requesting Data...3988010102</v>
        <stp/>
        <stp>BDP|7840771153039883243</stp>
        <tr r="C7" s="8"/>
      </tp>
      <tp t="s">
        <v>#N/A Requesting Data...1520847237</v>
        <stp/>
        <stp>BDP|7043100642105160936</stp>
        <tr r="F17" s="1"/>
      </tp>
      <tp t="s">
        <v>#N/A Requesting Data...3508764692</v>
        <stp/>
        <stp>BDP|3308955097925622869</stp>
        <tr r="B63" s="1"/>
      </tp>
      <tp t="s">
        <v>#N/A Requesting Data...4216662083</v>
        <stp/>
        <stp>BDP|6463743791707501121</stp>
        <tr r="D25" s="3"/>
      </tp>
      <tp t="s">
        <v>#N/A Requesting Data...2386848444</v>
        <stp/>
        <stp>BDP|5466233082800220103</stp>
        <tr r="F13" s="3"/>
      </tp>
      <tp t="s">
        <v>#N/A Requesting Data...2286056066</v>
        <stp/>
        <stp>BDP|7724246683780294356</stp>
        <tr r="D64" s="3"/>
      </tp>
      <tp t="s">
        <v>#N/A Requesting Data...2435648897</v>
        <stp/>
        <stp>BDP|5872992875561861482</stp>
        <tr r="B58" s="1"/>
      </tp>
      <tp t="s">
        <v>#N/A Requesting Data...2319371537</v>
        <stp/>
        <stp>BDP|8076001442105269746</stp>
        <tr r="I63" s="1"/>
      </tp>
      <tp t="s">
        <v>#N/A Requesting Data...1653734310</v>
        <stp/>
        <stp>BDP|8486237017652357761</stp>
        <tr r="I53" s="1"/>
      </tp>
      <tp t="s">
        <v>#N/A Requesting Data...1291128250</v>
        <stp/>
        <stp>BDP|2873069485897639385</stp>
        <tr r="D47" s="8"/>
      </tp>
      <tp t="s">
        <v>#N/A Requesting Data...3000196789</v>
        <stp/>
        <stp>BDP|9096042033243832652</stp>
        <tr r="D60" s="8"/>
      </tp>
      <tp t="s">
        <v>#N/A Requesting Data...4098414069</v>
        <stp/>
        <stp>BDP|4899862465295901082</stp>
        <tr r="F35" s="1"/>
      </tp>
      <tp t="s">
        <v>#N/A Requesting Data...1245248161</v>
        <stp/>
        <stp>BDP|7547955575907948166</stp>
        <tr r="F54" s="3"/>
      </tp>
      <tp t="s">
        <v>#N/A Requesting Data...2126403733</v>
        <stp/>
        <stp>BDP|4199589106659208777</stp>
        <tr r="F5" s="1"/>
      </tp>
      <tp t="s">
        <v>#N/A Requesting Data...1129167313</v>
        <stp/>
        <stp>BDP|9835970340352121944</stp>
        <tr r="F8" s="3"/>
      </tp>
      <tp t="s">
        <v>#N/A Requesting Data...2435859466</v>
        <stp/>
        <stp>BDP|4687669239039027722</stp>
        <tr r="I45" s="1"/>
      </tp>
      <tp t="s">
        <v>#N/A Requesting Data...4258726771</v>
        <stp/>
        <stp>BDP|1748287558368935168</stp>
        <tr r="L28" s="1"/>
      </tp>
      <tp t="s">
        <v>#N/A Requesting Data...2154753706</v>
        <stp/>
        <stp>BDP|8426311067026886424</stp>
        <tr r="F31" s="1"/>
      </tp>
      <tp t="s">
        <v>#N/A Requesting Data...1034972152</v>
        <stp/>
        <stp>BDP|6153639889696115134</stp>
        <tr r="C31" s="8"/>
      </tp>
      <tp t="s">
        <v>#N/A Requesting Data...1643642377</v>
        <stp/>
        <stp>BDP|7265433763498310285</stp>
        <tr r="F12" s="3"/>
      </tp>
      <tp t="s">
        <v>#N/A Requesting Data...1216805541</v>
        <stp/>
        <stp>BDP|9980402036118738965</stp>
        <tr r="G54" s="1"/>
      </tp>
      <tp t="s">
        <v>#N/A Requesting Data...3155305250</v>
        <stp/>
        <stp>BDP|5345492383440655611</stp>
        <tr r="D34" s="3"/>
      </tp>
      <tp t="s">
        <v>#N/A Requesting Data...3960832446</v>
        <stp/>
        <stp>BDP|7815238917643760843</stp>
        <tr r="E52" s="1"/>
      </tp>
      <tp t="s">
        <v>#N/A Requesting Data...3677602981</v>
        <stp/>
        <stp>BDP|2779255002248654799</stp>
        <tr r="D35" s="3"/>
      </tp>
      <tp t="s">
        <v>#N/A Requesting Data...1919794402</v>
        <stp/>
        <stp>BDP|5749814159923239424</stp>
        <tr r="K58" s="1"/>
      </tp>
      <tp t="s">
        <v>#N/A Requesting Data...3729277097</v>
        <stp/>
        <stp>BDP|6718278409498376367</stp>
        <tr r="D51" s="3"/>
      </tp>
      <tp t="s">
        <v>#N/A Requesting Data...3512537154</v>
        <stp/>
        <stp>BDP|3645922837723806569</stp>
        <tr r="D66" s="1"/>
      </tp>
      <tp t="s">
        <v>#N/A Requesting Data...2720623617</v>
        <stp/>
        <stp>BDP|6539712056269105218</stp>
        <tr r="H13" s="1"/>
      </tp>
      <tp t="s">
        <v>#N/A Requesting Data...1315844002</v>
        <stp/>
        <stp>BDP|1773074245243357942</stp>
        <tr r="H65" s="1"/>
      </tp>
      <tp t="s">
        <v>#N/A Requesting Data...3853786177</v>
        <stp/>
        <stp>BDP|2533669194553625126</stp>
        <tr r="B29" s="1"/>
      </tp>
      <tp t="s">
        <v>#N/A Requesting Data...1347262820</v>
        <stp/>
        <stp>BDP|5812730540280843902</stp>
        <tr r="L10" s="1"/>
      </tp>
      <tp t="s">
        <v>#N/A Requesting Data...3619850949</v>
        <stp/>
        <stp>BDP|7598846428830345297</stp>
        <tr r="K63" s="1"/>
      </tp>
      <tp t="s">
        <v>#N/A Requesting Data...1078772489</v>
        <stp/>
        <stp>BDP|1055378826957995887</stp>
        <tr r="D38" s="8"/>
      </tp>
      <tp t="s">
        <v>#N/A Requesting Data...2172580364</v>
        <stp/>
        <stp>BDP|9968217876011607284</stp>
        <tr r="I66" s="1"/>
      </tp>
      <tp t="s">
        <v>#N/A Requesting Data...2736689311</v>
        <stp/>
        <stp>BDP|8660502169316919261</stp>
        <tr r="F53" s="3"/>
      </tp>
      <tp t="s">
        <v>#N/A Requesting Data...1433083535</v>
        <stp/>
        <stp>BDP|9105030267580741034</stp>
        <tr r="G39" s="1"/>
      </tp>
      <tp t="s">
        <v>#N/A Requesting Data...4162046206</v>
        <stp/>
        <stp>BDP|6466417947921681820</stp>
        <tr r="F41" s="3"/>
      </tp>
      <tp t="s">
        <v>#N/A Requesting Data...826450153</v>
        <stp/>
        <stp>BDP|6552694590924297286</stp>
        <tr r="H46" s="1"/>
      </tp>
      <tp t="s">
        <v>#N/A Requesting Data...4117033780</v>
        <stp/>
        <stp>BDP|3825502385393807229</stp>
        <tr r="H28" s="1"/>
      </tp>
      <tp t="s">
        <v>#N/A Requesting Data...3233027713</v>
        <stp/>
        <stp>BDP|7035263705373251969</stp>
        <tr r="J56" s="1"/>
      </tp>
      <tp t="s">
        <v>#N/A Requesting Data...3305923385</v>
        <stp/>
        <stp>BDP|4645596577589499086</stp>
        <tr r="F35" s="3"/>
      </tp>
      <tp t="s">
        <v>#N/A Requesting Data...3281003385</v>
        <stp/>
        <stp>BDP|1599933507311784629</stp>
        <tr r="D53" s="1"/>
      </tp>
      <tp t="s">
        <v>#N/A Requesting Data...4167137344</v>
        <stp/>
        <stp>BDP|9250345807414031156</stp>
        <tr r="E41" s="1"/>
      </tp>
      <tp t="s">
        <v>#N/A Requesting Data...3166269288</v>
        <stp/>
        <stp>BDP|6178842602330643156</stp>
        <tr r="I24" s="1"/>
      </tp>
      <tp t="s">
        <v>#N/A Requesting Data...2079667827</v>
        <stp/>
        <stp>BDP|2383973974506773528</stp>
        <tr r="C23" s="8"/>
      </tp>
      <tp t="s">
        <v>#N/A Requesting Data...2203554510</v>
        <stp/>
        <stp>BDP|1315954670600721047</stp>
        <tr r="L5" s="1"/>
      </tp>
      <tp t="s">
        <v>#N/A Requesting Data...3927362392</v>
        <stp/>
        <stp>BDP|2563874028112816282</stp>
        <tr r="K45" s="1"/>
      </tp>
      <tp t="s">
        <v>#N/A Requesting Data...1318056866</v>
        <stp/>
        <stp>BDP|1175703785111977777</stp>
        <tr r="E48" s="1"/>
      </tp>
      <tp t="s">
        <v>#N/A Requesting Data...1674287658</v>
        <stp/>
        <stp>BDP|7649788603111266943</stp>
        <tr r="H60" s="1"/>
      </tp>
      <tp t="s">
        <v>#N/A Requesting Data...1991391367</v>
        <stp/>
        <stp>BDP|2352125494725850765</stp>
        <tr r="F26" s="3"/>
      </tp>
      <tp t="s">
        <v>#N/A Requesting Data...1989325996</v>
        <stp/>
        <stp>BDP|8835524130445380316</stp>
        <tr r="F32" s="1"/>
      </tp>
      <tp t="s">
        <v>#N/A Requesting Data...4178425058</v>
        <stp/>
        <stp>BDP|5447747068995827985</stp>
        <tr r="E10" s="1"/>
      </tp>
      <tp t="s">
        <v>#N/A Requesting Data...3282379641</v>
        <stp/>
        <stp>BDP|1920830451214626051</stp>
        <tr r="E50" s="1"/>
      </tp>
      <tp t="s">
        <v>#N/A Requesting Data...1495912391</v>
        <stp/>
        <stp>BDP|3129205581611111096</stp>
        <tr r="K16" s="1"/>
      </tp>
      <tp t="s">
        <v>#N/A Requesting Data...3089712955</v>
        <stp/>
        <stp>BDP|9124321224796846676</stp>
        <tr r="B21" s="1"/>
      </tp>
      <tp t="s">
        <v>#N/A Requesting Data...3084793908</v>
        <stp/>
        <stp>BDP|8320637574831231080</stp>
        <tr r="D13" s="3"/>
      </tp>
      <tp t="s">
        <v>#N/A Requesting Data...3434987099</v>
        <stp/>
        <stp>BDP|7579824097739935771</stp>
        <tr r="D23" s="1"/>
      </tp>
      <tp t="s">
        <v>#N/A Requesting Data...4137245597</v>
        <stp/>
        <stp>BDP|8409340748336303178</stp>
        <tr r="D46" s="8"/>
      </tp>
      <tp t="s">
        <v>#N/A Requesting Data...2651848236</v>
        <stp/>
        <stp>BDP|9375379040215117393</stp>
        <tr r="C10" s="8"/>
      </tp>
      <tp t="s">
        <v>#N/A Requesting Data...3380901591</v>
        <stp/>
        <stp>BDP|4731639598621994284</stp>
        <tr r="L43" s="1"/>
      </tp>
      <tp t="s">
        <v>#N/A Requesting Data...2982957324</v>
        <stp/>
        <stp>BDP|5034177741101409900</stp>
        <tr r="G35" s="1"/>
      </tp>
      <tp t="s">
        <v>#N/A Requesting Data...2944615239</v>
        <stp/>
        <stp>BDP|4924221825058460494</stp>
        <tr r="F36" s="3"/>
      </tp>
      <tp t="s">
        <v>#N/A Requesting Data...1137601768</v>
        <stp/>
        <stp>BDP|2580578197927540138</stp>
        <tr r="D15" s="3"/>
      </tp>
      <tp t="s">
        <v>#N/A Requesting Data...3153991065</v>
        <stp/>
        <stp>BDP|3329232996484036451</stp>
        <tr r="F50" s="3"/>
      </tp>
      <tp t="s">
        <v>#N/A Requesting Data...1855818523</v>
        <stp/>
        <stp>BDP|7182936275548729902</stp>
        <tr r="F19" s="1"/>
      </tp>
      <tp t="s">
        <v>#N/A Requesting Data...862020681</v>
        <stp/>
        <stp>BDP|4241623552258620749</stp>
        <tr r="D45" s="8"/>
      </tp>
      <tp t="s">
        <v>#N/A Requesting Data...2563913102</v>
        <stp/>
        <stp>BDP|1091920927270261279</stp>
        <tr r="C14" s="8"/>
      </tp>
      <tp t="s">
        <v>#N/A Requesting Data...1750686965</v>
        <stp/>
        <stp>BDP|6783421557526496978</stp>
        <tr r="C9" s="8"/>
      </tp>
      <tp t="s">
        <v>#N/A Requesting Data...3259402153</v>
        <stp/>
        <stp>BDP|2160903349976913103</stp>
        <tr r="D57" s="3"/>
      </tp>
      <tp t="s">
        <v>#N/A Requesting Data...2453204710</v>
        <stp/>
        <stp>BDP|8387074164133577515</stp>
        <tr r="G4" s="1"/>
      </tp>
      <tp t="s">
        <v>#N/A Requesting Data...2984076367</v>
        <stp/>
        <stp>BDP|1205007910458150072</stp>
        <tr r="D7" s="3"/>
      </tp>
      <tp t="s">
        <v>#N/A Requesting Data...1151147157</v>
        <stp/>
        <stp>BDP|6207566286026453530</stp>
        <tr r="D26" s="8"/>
      </tp>
      <tp t="s">
        <v>#N/A Requesting Data...3028431166</v>
        <stp/>
        <stp>BDP|5164574009109262075</stp>
        <tr r="E45" s="1"/>
      </tp>
      <tp t="s">
        <v>#N/A Requesting Data...3585257878</v>
        <stp/>
        <stp>BDP|4602027815504836833</stp>
        <tr r="K40" s="1"/>
      </tp>
      <tp t="s">
        <v>#N/A Requesting Data...3422969761</v>
        <stp/>
        <stp>BDP|7154532496617936522</stp>
        <tr r="F14" s="3"/>
      </tp>
      <tp t="s">
        <v>#N/A Requesting Data...1804801935</v>
        <stp/>
        <stp>BDP|3862404497446942190</stp>
        <tr r="L66" s="1"/>
      </tp>
      <tp t="s">
        <v>#N/A Requesting Data...3333791044</v>
        <stp/>
        <stp>BDP|6274396799335458093</stp>
        <tr r="D64" s="8"/>
      </tp>
      <tp t="s">
        <v>#N/A Requesting Data...2136755556</v>
        <stp/>
        <stp>BDP|8334960710229946010</stp>
        <tr r="L24" s="1"/>
      </tp>
      <tp t="s">
        <v>#N/A Requesting Data...3341461317</v>
        <stp/>
        <stp>BDP|7597620641739156559</stp>
        <tr r="J12" s="1"/>
      </tp>
      <tp t="s">
        <v>#N/A Requesting Data...3460560424</v>
        <stp/>
        <stp>BDP|3543401083136622031</stp>
        <tr r="E22" s="1"/>
      </tp>
      <tp t="s">
        <v>#N/A Requesting Data...2935577458</v>
        <stp/>
        <stp>BDP|4969014783617393286</stp>
        <tr r="F60" s="1"/>
      </tp>
      <tp t="s">
        <v>#N/A Requesting Data...1534825619</v>
        <stp/>
        <stp>BDP|7834889572467382619</stp>
        <tr r="F21" s="1"/>
      </tp>
      <tp t="s">
        <v>#N/A Requesting Data...1394650597</v>
        <stp/>
        <stp>BDP|1658474003519293509</stp>
        <tr r="F9" s="1"/>
      </tp>
      <tp t="s">
        <v>#N/A Requesting Data...2619829850</v>
        <stp/>
        <stp>BDP|7199720193813182307</stp>
        <tr r="B4" s="1"/>
      </tp>
      <tp t="s">
        <v>#N/A Requesting Data...2625737041</v>
        <stp/>
        <stp>BDP|5432714242946683906</stp>
        <tr r="D22" s="3"/>
      </tp>
      <tp t="s">
        <v>#N/A Requesting Data...3336074203</v>
        <stp/>
        <stp>BDP|6806268616238889411</stp>
        <tr r="G46" s="1"/>
      </tp>
      <tp t="s">
        <v>#N/A Requesting Data...2854163256</v>
        <stp/>
        <stp>BDP|7357215378892269998</stp>
        <tr r="H48" s="1"/>
      </tp>
      <tp t="s">
        <v>#N/A Requesting Data...1876302649</v>
        <stp/>
        <stp>BDP|5343652181706211433</stp>
        <tr r="C17" s="8"/>
      </tp>
      <tp t="s">
        <v>#N/A Requesting Data...2153753076</v>
        <stp/>
        <stp>BDP|5679589048345127837</stp>
        <tr r="B27" s="1"/>
      </tp>
      <tp t="s">
        <v>#N/A Requesting Data...2980367575</v>
        <stp/>
        <stp>BDP|1976189797981098137</stp>
        <tr r="G7" s="1"/>
      </tp>
      <tp t="s">
        <v>#N/A Requesting Data...1484637683</v>
        <stp/>
        <stp>BDP|7490185684785876255</stp>
        <tr r="I44" s="1"/>
      </tp>
      <tp t="s">
        <v>#N/A Requesting Data...1978140918</v>
        <stp/>
        <stp>BDP|6264640561086545978</stp>
        <tr r="K5" s="1"/>
      </tp>
      <tp t="s">
        <v>#N/A Requesting Data...3447828498</v>
        <stp/>
        <stp>BDP|4290059029619226565</stp>
        <tr r="I26" s="1"/>
      </tp>
      <tp t="s">
        <v>#N/A Requesting Data...4027625781</v>
        <stp/>
        <stp>BDP|1077273419528615037</stp>
        <tr r="F14" s="1"/>
      </tp>
      <tp t="s">
        <v>#N/A Requesting Data...1217709940</v>
        <stp/>
        <stp>BDP|4803369609048670585</stp>
        <tr r="C39" s="8"/>
      </tp>
      <tp t="s">
        <v>#N/A Requesting Data...1041933030</v>
        <stp/>
        <stp>BDP|6666136649719265074</stp>
        <tr r="F39" s="3"/>
      </tp>
      <tp t="s">
        <v>#N/A Requesting Data...4025344707</v>
        <stp/>
        <stp>BDP|7423321248203904994</stp>
        <tr r="D18" s="3"/>
      </tp>
      <tp t="s">
        <v>#N/A Requesting Data...3704339739</v>
        <stp/>
        <stp>BDP|1768122180294824630</stp>
        <tr r="E36" s="1"/>
      </tp>
      <tp t="s">
        <v>#N/A Requesting Data...2557478680</v>
        <stp/>
        <stp>BDP|9977315738577720491</stp>
        <tr r="J14" s="1"/>
      </tp>
      <tp t="s">
        <v>#N/A Requesting Data...2310661089</v>
        <stp/>
        <stp>BDP|4834281899522728702</stp>
        <tr r="E47" s="1"/>
      </tp>
      <tp t="s">
        <v>#N/A Requesting Data...2559361979</v>
        <stp/>
        <stp>BDP|2914254628659338183</stp>
        <tr r="K36" s="1"/>
      </tp>
      <tp t="s">
        <v>#N/A Requesting Data...2670654324</v>
        <stp/>
        <stp>BDP|5341838378778697838</stp>
        <tr r="F63" s="1"/>
      </tp>
      <tp t="s">
        <v>#N/A Requesting Data...1223239480</v>
        <stp/>
        <stp>BDP|7134294768309049028</stp>
        <tr r="D59" s="1"/>
      </tp>
      <tp t="s">
        <v>#N/A Requesting Data...3272833505</v>
        <stp/>
        <stp>BDP|1098407385305579239</stp>
        <tr r="D61" s="1"/>
      </tp>
      <tp t="s">
        <v>#N/A Requesting Data...2600447253</v>
        <stp/>
        <stp>BDP|3620351881245439754</stp>
        <tr r="L49" s="1"/>
      </tp>
      <tp t="s">
        <v>#N/A Requesting Data...3412214814</v>
        <stp/>
        <stp>BDP|6068650792225412603</stp>
        <tr r="J26" s="1"/>
      </tp>
      <tp t="s">
        <v>#N/A Requesting Data...2959386293</v>
        <stp/>
        <stp>BDP|3939394307172577829</stp>
        <tr r="D52" s="3"/>
      </tp>
      <tp t="s">
        <v>#N/A Requesting Data...2787955346</v>
        <stp/>
        <stp>BDP|8892785400661428446</stp>
        <tr r="E61" s="1"/>
      </tp>
      <tp t="s">
        <v>#N/A Requesting Data...3716048813</v>
        <stp/>
        <stp>BDP|6743369467578118179</stp>
        <tr r="K56" s="1"/>
      </tp>
      <tp t="s">
        <v>#N/A Requesting Data...2357684414</v>
        <stp/>
        <stp>BDP|8401336883531529815</stp>
        <tr r="D40" s="1"/>
      </tp>
      <tp t="s">
        <v>#N/A Requesting Data...3940257539</v>
        <stp/>
        <stp>BDP|9631540150342445162</stp>
        <tr r="J3" s="1"/>
      </tp>
      <tp t="s">
        <v>#N/A Requesting Data...1464335212</v>
        <stp/>
        <stp>BDP|2540776521388264508</stp>
        <tr r="G13" s="1"/>
      </tp>
      <tp t="s">
        <v>#N/A Requesting Data...1069811892</v>
        <stp/>
        <stp>BDP|7567049506438221539</stp>
        <tr r="D26" s="3"/>
      </tp>
      <tp t="s">
        <v>#N/A Requesting Data...3984808399</v>
        <stp/>
        <stp>BDP|3602929200444188431</stp>
        <tr r="D10" s="3"/>
      </tp>
      <tp t="s">
        <v>#N/A Requesting Data...1503180941</v>
        <stp/>
        <stp>BDP|9201544713736610154</stp>
        <tr r="D8" s="3"/>
      </tp>
      <tp t="s">
        <v>#N/A Requesting Data...947725955</v>
        <stp/>
        <stp>BDP|9947593311833233472</stp>
        <tr r="G30" s="1"/>
      </tp>
      <tp t="s">
        <v>#N/A Requesting Data...1546298816</v>
        <stp/>
        <stp>BDP|9237584875308901930</stp>
        <tr r="D49" s="1"/>
      </tp>
      <tp t="s">
        <v>#N/A Requesting Data...2983068098</v>
        <stp/>
        <stp>BDP|4357241048229792026</stp>
        <tr r="D21" s="3"/>
      </tp>
      <tp t="s">
        <v>#N/A N/A</v>
        <stp/>
        <stp>BDP|3929462147280253804</stp>
        <tr r="C29" s="8"/>
      </tp>
      <tp t="s">
        <v>#N/A Requesting Data...4048012606</v>
        <stp/>
        <stp>BDP|2805532817614474938</stp>
        <tr r="H3" s="1"/>
      </tp>
      <tp t="s">
        <v>#N/A Requesting Data...1677689750</v>
        <stp/>
        <stp>BDP|2184431618228232409</stp>
        <tr r="D44" s="3"/>
      </tp>
      <tp t="s">
        <v>#N/A Requesting Data...2639342236</v>
        <stp/>
        <stp>BDP|1477561084265951210</stp>
        <tr r="C13" s="8"/>
      </tp>
      <tp t="s">
        <v>#N/A Requesting Data...2643458539</v>
        <stp/>
        <stp>BDP|9405709605096882370</stp>
        <tr r="D50" s="1"/>
      </tp>
      <tp t="s">
        <v>#N/A Requesting Data...1310960528</v>
        <stp/>
        <stp>BDP|6773903150208935927</stp>
        <tr r="J50" s="1"/>
      </tp>
      <tp t="s">
        <v>#N/A Requesting Data...1965366117</v>
        <stp/>
        <stp>BDP|9802905854738827699</stp>
        <tr r="I3" s="1"/>
      </tp>
      <tp t="s">
        <v>#N/A Requesting Data...2485877414</v>
        <stp/>
        <stp>BDP|1558752839498436600</stp>
        <tr r="L40" s="1"/>
      </tp>
      <tp t="s">
        <v>#N/A Requesting Data...3827911746</v>
        <stp/>
        <stp>BDP|6178922747502485238</stp>
        <tr r="I51" s="1"/>
      </tp>
      <tp t="s">
        <v>#N/A Requesting Data...1751143751</v>
        <stp/>
        <stp>BDP|3119290959848791769</stp>
        <tr r="B17" s="1"/>
      </tp>
      <tp t="s">
        <v>#N/A Requesting Data...3854665732</v>
        <stp/>
        <stp>BDP|7781841863176923494</stp>
        <tr r="K42" s="1"/>
      </tp>
      <tp t="s">
        <v>#N/A Requesting Data...3337783082</v>
        <stp/>
        <stp>BDP|7373356590652574437</stp>
        <tr r="H51" s="1"/>
      </tp>
      <tp t="s">
        <v>#N/A Requesting Data...1743675229</v>
        <stp/>
        <stp>BDP|8021561230014021173</stp>
        <tr r="J18" s="1"/>
      </tp>
      <tp t="s">
        <v>#N/A Requesting Data...1085157011</v>
        <stp/>
        <stp>BDP|3515267784577527548</stp>
        <tr r="K31" s="1"/>
      </tp>
      <tp t="s">
        <v>#N/A Requesting Data...1378553996</v>
        <stp/>
        <stp>BDP|5259627787634411456</stp>
        <tr r="J54" s="1"/>
      </tp>
      <tp t="s">
        <v>#N/A Requesting Data...3905949678</v>
        <stp/>
        <stp>BDP|6648858457022580276</stp>
        <tr r="L62" s="1"/>
      </tp>
      <tp t="s">
        <v>#N/A Requesting Data...4279569631</v>
        <stp/>
        <stp>BDP|6919569354908432590</stp>
        <tr r="E23" s="1"/>
      </tp>
      <tp t="s">
        <v>#N/A Requesting Data...3945411699</v>
        <stp/>
        <stp>BDP|8899561428166285230</stp>
        <tr r="K33" s="1"/>
      </tp>
      <tp t="s">
        <v>#N/A Requesting Data...3662846355</v>
        <stp/>
        <stp>BDP|9917885199190906365</stp>
        <tr r="E46" s="1"/>
      </tp>
      <tp t="s">
        <v>#N/A Requesting Data...2533537004</v>
        <stp/>
        <stp>BDP|2625499089575439058</stp>
        <tr r="J64" s="1"/>
      </tp>
      <tp t="s">
        <v>#N/A Requesting Data...2592391149</v>
        <stp/>
        <stp>BDP|9943015802311910345</stp>
        <tr r="C63" s="8"/>
      </tp>
      <tp t="s">
        <v>#N/A Requesting Data...1710012329</v>
        <stp/>
        <stp>BDP|9241502648746887571</stp>
        <tr r="D18" s="1"/>
      </tp>
      <tp t="s">
        <v>#N/A Requesting Data...2754869547</v>
        <stp/>
        <stp>BDP|9742261979240841758</stp>
        <tr r="H12" s="1"/>
      </tp>
      <tp t="s">
        <v>#N/A Requesting Data...4102297588</v>
        <stp/>
        <stp>BDP|6665992285365846977</stp>
        <tr r="G48" s="1"/>
      </tp>
      <tp t="s">
        <v>#N/A Requesting Data...2617996137</v>
        <stp/>
        <stp>BDP|5766166871762397595</stp>
        <tr r="D39" s="3"/>
      </tp>
      <tp t="s">
        <v>#N/A Requesting Data...4057227178</v>
        <stp/>
        <stp>BDP|7088431623016353392</stp>
        <tr r="L44" s="1"/>
      </tp>
      <tp t="s">
        <v>#N/A Requesting Data...2243495247</v>
        <stp/>
        <stp>BDP|4508099877253793460</stp>
        <tr r="I4" s="1"/>
      </tp>
      <tp t="s">
        <v>#N/A Requesting Data...4265873811</v>
        <stp/>
        <stp>BDP|5583410826933977412</stp>
        <tr r="J66" s="1"/>
      </tp>
      <tp t="s">
        <v>#N/A Requesting Data...2415234751</v>
        <stp/>
        <stp>BDP|8379097574608644325</stp>
        <tr r="D65" s="1"/>
      </tp>
      <tp t="s">
        <v>#N/A Requesting Data...3741800907</v>
        <stp/>
        <stp>BDP|1050982561163477965</stp>
        <tr r="J30" s="1"/>
      </tp>
      <tp t="s">
        <v>#N/A N/A</v>
        <stp/>
        <stp>BDP|4521741811906807005</stp>
        <tr r="C35" s="8"/>
      </tp>
      <tp t="s">
        <v>#N/A Requesting Data...2847007411</v>
        <stp/>
        <stp>BDP|1326315819134246301</stp>
        <tr r="I37" s="1"/>
      </tp>
      <tp t="s">
        <v>#N/A Requesting Data...2762497403</v>
        <stp/>
        <stp>BDP|4444601371573529294</stp>
        <tr r="K37" s="1"/>
      </tp>
      <tp t="s">
        <v>#N/A Requesting Data...1818233522</v>
        <stp/>
        <stp>BDP|1639463886738155193</stp>
        <tr r="B15" s="1"/>
      </tp>
      <tp t="s">
        <v>#N/A Requesting Data...2937226359</v>
        <stp/>
        <stp>BDP|6961691649561547124</stp>
        <tr r="H5" s="1"/>
      </tp>
      <tp t="s">
        <v>#N/A Requesting Data...1460424016</v>
        <stp/>
        <stp>BDP|7825531127511027523</stp>
        <tr r="C45" s="8"/>
      </tp>
      <tp t="s">
        <v>#N/A Requesting Data...1780240918</v>
        <stp/>
        <stp>BDP|9065978659354045511</stp>
        <tr r="G66" s="1"/>
      </tp>
      <tp t="s">
        <v>#N/A Requesting Data...2608502322</v>
        <stp/>
        <stp>BDP|6006738556731837127</stp>
        <tr r="J59" s="1"/>
      </tp>
      <tp t="s">
        <v>#N/A Requesting Data...4011810485</v>
        <stp/>
        <stp>BDP|7384267205117903657</stp>
        <tr r="F64" s="3"/>
      </tp>
      <tp t="s">
        <v>#N/A Requesting Data...3918010497</v>
        <stp/>
        <stp>BDP|5439279032996547687</stp>
        <tr r="I23" s="1"/>
      </tp>
      <tp t="s">
        <v>#N/A N/A</v>
        <stp/>
        <stp>BDP|6573586769687825618</stp>
        <tr r="C54" s="8"/>
      </tp>
      <tp t="s">
        <v>#N/A Requesting Data...1822038404</v>
        <stp/>
        <stp>BDP|4913775576459429910</stp>
        <tr r="E24" s="1"/>
      </tp>
      <tp t="s">
        <v>#N/A Requesting Data...2994212398</v>
        <stp/>
        <stp>BDP|6549202927975282729</stp>
        <tr r="F43" s="1"/>
      </tp>
      <tp t="s">
        <v>#N/A Requesting Data...4082497197</v>
        <stp/>
        <stp>BDP|1172487272614057291</stp>
        <tr r="H54" s="1"/>
      </tp>
      <tp t="s">
        <v>#N/A Requesting Data...1313788762</v>
        <stp/>
        <stp>BDP|4558232333391104075</stp>
        <tr r="H57" s="1"/>
      </tp>
      <tp t="s">
        <v>#N/A Requesting Data...2840533632</v>
        <stp/>
        <stp>BDP|9950874877044239686</stp>
        <tr r="H8" s="1"/>
      </tp>
      <tp t="s">
        <v>#N/A Requesting Data...1115900505</v>
        <stp/>
        <stp>BDP|9992200938544754860</stp>
        <tr r="F49" s="1"/>
      </tp>
      <tp t="s">
        <v>#N/A Requesting Data...2360692124</v>
        <stp/>
        <stp>BDP|4047658915334749379</stp>
        <tr r="B24" s="1"/>
      </tp>
      <tp t="s">
        <v>#N/A Requesting Data...2209315543</v>
        <stp/>
        <stp>BDP|7060341446563506776</stp>
        <tr r="C18" s="8"/>
      </tp>
      <tp t="s">
        <v>#N/A Requesting Data...3617966952</v>
        <stp/>
        <stp>BDP|2477568862924679167</stp>
        <tr r="F48" s="1"/>
      </tp>
      <tp t="s">
        <v>#N/A Requesting Data...1445164259</v>
        <stp/>
        <stp>BDP|3762541012695749663</stp>
        <tr r="C61" s="8"/>
      </tp>
      <tp t="s">
        <v>#N/A Requesting Data...1889143151</v>
        <stp/>
        <stp>BDP|9359338842263217916</stp>
        <tr r="G31" s="1"/>
      </tp>
      <tp t="s">
        <v>#N/A Requesting Data...2574179548</v>
        <stp/>
        <stp>BDP|1704579238512088196</stp>
        <tr r="H34" s="1"/>
      </tp>
      <tp t="s">
        <v>#N/A Requesting Data...3741428556</v>
        <stp/>
        <stp>BDP|1071314541423591131</stp>
        <tr r="F49" s="3"/>
      </tp>
      <tp t="s">
        <v>#N/A Requesting Data...3290826570</v>
        <stp/>
        <stp>BDP|3570595003391180399</stp>
        <tr r="K29" s="1"/>
      </tp>
      <tp t="s">
        <v>#N/A Requesting Data...4221958945</v>
        <stp/>
        <stp>BDP|2592539942143720441</stp>
        <tr r="D8" s="8"/>
      </tp>
      <tp t="s">
        <v>#N/A Requesting Data...1841818988</v>
        <stp/>
        <stp>BDP|2988317699904057851</stp>
        <tr r="G12" s="1"/>
      </tp>
      <tp t="s">
        <v>#N/A Requesting Data...2700365486</v>
        <stp/>
        <stp>BDP|9463598479956521950</stp>
        <tr r="D63" s="8"/>
      </tp>
      <tp t="s">
        <v>#N/A Requesting Data...3277450551</v>
        <stp/>
        <stp>BDP|7842025781722726994</stp>
        <tr r="I59" s="1"/>
      </tp>
      <tp t="s">
        <v>#N/A Requesting Data...1148837911</v>
        <stp/>
        <stp>BDP|8846784995330429243</stp>
        <tr r="J21" s="1"/>
      </tp>
      <tp t="s">
        <v>#N/A Requesting Data...1744791525</v>
        <stp/>
        <stp>BDP|9209032131258640633</stp>
        <tr r="J23" s="1"/>
      </tp>
      <tp t="s">
        <v>#N/A Requesting Data...3751564070</v>
        <stp/>
        <stp>BDP|3696239301615662188</stp>
        <tr r="G27" s="1"/>
      </tp>
      <tp t="s">
        <v>#N/A Requesting Data...1075424651</v>
        <stp/>
        <stp>BDP|3800830097985794210</stp>
        <tr r="I10" s="1"/>
      </tp>
      <tp t="s">
        <v>#N/A Requesting Data...2169946776</v>
        <stp/>
        <stp>BDP|2849063933161343544</stp>
        <tr r="K17" s="1"/>
      </tp>
      <tp t="s">
        <v>#N/A Requesting Data...4097470846</v>
        <stp/>
        <stp>BDP|4609604177484257485</stp>
        <tr r="D44" s="8"/>
      </tp>
      <tp t="s">
        <v>#N/A Requesting Data...2144814799</v>
        <stp/>
        <stp>BDP|5897611773457634642</stp>
        <tr r="J32" s="1"/>
      </tp>
      <tp t="s">
        <v>#N/A Requesting Data...3147977688</v>
        <stp/>
        <stp>BDP|9205836039226280129</stp>
        <tr r="J11" s="1"/>
      </tp>
      <tp t="s">
        <v>#N/A Requesting Data...1576903186</v>
        <stp/>
        <stp>BDP|3440091321912346612</stp>
        <tr r="L46" s="1"/>
      </tp>
      <tp t="s">
        <v>#N/A Requesting Data...4073733514</v>
        <stp/>
        <stp>BDP|3235363733013300589</stp>
        <tr r="D47" s="3"/>
      </tp>
      <tp t="s">
        <v>#N/A Requesting Data...2909110787</v>
        <stp/>
        <stp>BDP|9756786353426225827</stp>
        <tr r="F50" s="1"/>
      </tp>
      <tp t="s">
        <v>#N/A Requesting Data...2528701416</v>
        <stp/>
        <stp>BDP|1921365662022596350</stp>
        <tr r="J41" s="1"/>
      </tp>
      <tp t="s">
        <v>#N/A Requesting Data...2657043676</v>
        <stp/>
        <stp>BDP|3024232315596615327</stp>
        <tr r="D58" s="1"/>
      </tp>
      <tp t="s">
        <v>#N/A Requesting Data...1139358168</v>
        <stp/>
        <stp>BDP|8001375660658219071</stp>
        <tr r="G63" s="1"/>
      </tp>
      <tp t="s">
        <v>#N/A Requesting Data...2496191015</v>
        <stp/>
        <stp>BDP|1153758239863616391</stp>
        <tr r="F34" s="3"/>
      </tp>
      <tp t="s">
        <v>#N/A Requesting Data...2470470789</v>
        <stp/>
        <stp>BDP|1735343802154059330</stp>
        <tr r="D52" s="8"/>
      </tp>
      <tp t="s">
        <v>#N/A Requesting Data...3598778230</v>
        <stp/>
        <stp>BDP|5182197332663184195</stp>
        <tr r="F22" s="3"/>
      </tp>
      <tp t="s">
        <v>#N/A Requesting Data...1678438615</v>
        <stp/>
        <stp>BDP|7920992756536488822</stp>
        <tr r="B16" s="1"/>
      </tp>
      <tp t="s">
        <v>#N/A Requesting Data...4272668664</v>
        <stp/>
        <stp>BDP|5728367633102362215</stp>
        <tr r="F59" s="3"/>
      </tp>
      <tp t="s">
        <v>#N/A Requesting Data...1464861833</v>
        <stp/>
        <stp>BDP|6154700546031692105</stp>
        <tr r="D23" s="3"/>
      </tp>
      <tp t="s">
        <v>#N/A Requesting Data...3355215546</v>
        <stp/>
        <stp>BDP|2756658832372630074</stp>
        <tr r="E57" s="1"/>
      </tp>
      <tp t="s">
        <v>#N/A Requesting Data...2151523400</v>
        <stp/>
        <stp>BDP|8897757475645894815</stp>
        <tr r="D61" s="8"/>
      </tp>
      <tp t="s">
        <v>#N/A Requesting Data...2941606669</v>
        <stp/>
        <stp>BDP|3704112609277864033</stp>
        <tr r="F38" s="3"/>
      </tp>
      <tp t="s">
        <v>#N/A Requesting Data...2600867785</v>
        <stp/>
        <stp>BDP|3417589159264678261</stp>
        <tr r="K21" s="1"/>
      </tp>
      <tp t="s">
        <v>#N/A Requesting Data...2979519019</v>
        <stp/>
        <stp>BDP|2506710412614334504</stp>
        <tr r="F23" s="1"/>
      </tp>
      <tp t="s">
        <v>#N/A Requesting Data...3492937903</v>
        <stp/>
        <stp>BDP|5788591911526882221</stp>
        <tr r="F47" s="1"/>
      </tp>
      <tp t="s">
        <v>#N/A Requesting Data...2992077357</v>
        <stp/>
        <stp>BDP|8541795004520439977</stp>
        <tr r="D42" s="1"/>
      </tp>
      <tp t="s">
        <v>#N/A Requesting Data...2505060743</v>
        <stp/>
        <stp>BDP|9208689972838202613</stp>
        <tr r="D45" s="3"/>
      </tp>
      <tp t="s">
        <v>#N/A Requesting Data...1978847098</v>
        <stp/>
        <stp>BDP|6593640972299175898</stp>
        <tr r="F20" s="3"/>
      </tp>
      <tp t="s">
        <v>#N/A Requesting Data...3533966920</v>
        <stp/>
        <stp>BDP|6660992484651205016</stp>
        <tr r="B47" s="1"/>
      </tp>
      <tp t="s">
        <v>#N/A Requesting Data...2185772662</v>
        <stp/>
        <stp>BDP|2522519407374357594</stp>
        <tr r="H29" s="1"/>
      </tp>
      <tp t="s">
        <v>#N/A Requesting Data...2485117953</v>
        <stp/>
        <stp>BDP|9593112720708833456</stp>
        <tr r="J34" s="1"/>
      </tp>
      <tp t="s">
        <v>#N/A Requesting Data...2043000971</v>
        <stp/>
        <stp>BDP|1303222598709960592</stp>
        <tr r="I32" s="1"/>
      </tp>
      <tp t="s">
        <v>#N/A Requesting Data...2302823399</v>
        <stp/>
        <stp>BDP|3861117651015374427</stp>
        <tr r="D59" s="3"/>
      </tp>
      <tp t="s">
        <v>#N/A Requesting Data...3860129810</v>
        <stp/>
        <stp>BDP|2454678749676307077</stp>
        <tr r="F39" s="1"/>
      </tp>
      <tp t="s">
        <v>#N/A Requesting Data...1308972514</v>
        <stp/>
        <stp>BDP|3832683951661871766</stp>
        <tr r="D33" s="8"/>
      </tp>
      <tp t="s">
        <v>#N/A Requesting Data...2138169649</v>
        <stp/>
        <stp>BDP|3411880485472567709</stp>
        <tr r="I30" s="1"/>
      </tp>
      <tp t="s">
        <v>#N/A Requesting Data...1525946087</v>
        <stp/>
        <stp>BDP|6805839621792162878</stp>
        <tr r="B65" s="1"/>
      </tp>
      <tp t="s">
        <v>#N/A Requesting Data...2971119820</v>
        <stp/>
        <stp>BDP|1849258417136017274</stp>
        <tr r="I42" s="1"/>
      </tp>
      <tp t="s">
        <v>#N/A Requesting Data...1135552827</v>
        <stp/>
        <stp>BDP|8930147103778497779</stp>
        <tr r="F25" s="1"/>
      </tp>
      <tp t="s">
        <v>#N/A Requesting Data...3956296836</v>
        <stp/>
        <stp>BDP|9790580699757226465</stp>
        <tr r="L11" s="1"/>
      </tp>
      <tp t="s">
        <v>#N/A Requesting Data...1479830824</v>
        <stp/>
        <stp>BDP|2603344300696710179</stp>
        <tr r="K7" s="1"/>
      </tp>
      <tp t="s">
        <v>#N/A Requesting Data...1593086021</v>
        <stp/>
        <stp>BDP|5370904226499282153</stp>
        <tr r="G8" s="1"/>
      </tp>
      <tp t="s">
        <v>#N/A Requesting Data...4033510825</v>
        <stp/>
        <stp>BDP|3265468948983750697</stp>
        <tr r="F42" s="3"/>
      </tp>
      <tp t="s">
        <v>#N/A Requesting Data...4150050135</v>
        <stp/>
        <stp>BDP|6455740046232106147</stp>
        <tr r="F57" s="1"/>
      </tp>
      <tp t="s">
        <v>#N/A Requesting Data...1962026088</v>
        <stp/>
        <stp>BDP|2730754572751972594</stp>
        <tr r="F45" s="1"/>
      </tp>
      <tp t="s">
        <v>#N/A Requesting Data...1754806078</v>
        <stp/>
        <stp>BDP|3065556477613264411</stp>
        <tr r="G58" s="1"/>
      </tp>
      <tp t="s">
        <v>#N/A Requesting Data...1845075044</v>
        <stp/>
        <stp>BDP|9031434016888605256</stp>
        <tr r="F56" s="1"/>
      </tp>
      <tp t="s">
        <v>#N/A Requesting Data...2647883265</v>
        <stp/>
        <stp>BDP|5143064133069385902</stp>
        <tr r="C40" s="8"/>
      </tp>
      <tp t="s">
        <v>#N/A Requesting Data...2890401391</v>
        <stp/>
        <stp>BDP|5901124868482591617</stp>
        <tr r="B18" s="1"/>
      </tp>
      <tp t="s">
        <v>#N/A Requesting Data...2515750151</v>
        <stp/>
        <stp>BDP|7716395614027868457</stp>
        <tr r="B23" s="1"/>
      </tp>
      <tp t="s">
        <v>#N/A Requesting Data...2336838468</v>
        <stp/>
        <stp>BDP|3096026845745333402</stp>
        <tr r="F31" s="3"/>
      </tp>
      <tp t="s">
        <v>#N/A Requesting Data...1291902428</v>
        <stp/>
        <stp>BDP|7237021939032900047</stp>
        <tr r="B52" s="1"/>
      </tp>
      <tp t="s">
        <v>#N/A Requesting Data...2994389820</v>
        <stp/>
        <stp>BDP|1646868020895744834</stp>
        <tr r="J8" s="1"/>
      </tp>
      <tp t="s">
        <v>#N/A Requesting Data...1387465033</v>
        <stp/>
        <stp>BDP|8701329171328253229</stp>
        <tr r="B31" s="1"/>
      </tp>
      <tp t="s">
        <v>#N/A Requesting Data...2241526221</v>
        <stp/>
        <stp>BDP|2625473621144488613</stp>
        <tr r="D41" s="3"/>
      </tp>
      <tp t="s">
        <v>#N/A Requesting Data...2986962769</v>
        <stp/>
        <stp>BDP|8231782223952637858</stp>
        <tr r="H66" s="1"/>
      </tp>
      <tp t="s">
        <v>#N/A Requesting Data...3640511382</v>
        <stp/>
        <stp>BDP|5872192511684889635</stp>
        <tr r="K46" s="1"/>
      </tp>
      <tp t="s">
        <v>#N/A N/A</v>
        <stp/>
        <stp>BDP|3180264421617544380</stp>
        <tr r="C49" s="8"/>
      </tp>
      <tp t="s">
        <v>#N/A Requesting Data...2014480770</v>
        <stp/>
        <stp>BDP|3567297464357155727</stp>
        <tr r="H62" s="1"/>
      </tp>
      <tp t="s">
        <v>#N/A Requesting Data...4127436066</v>
        <stp/>
        <stp>BDP|4982625359167342797</stp>
        <tr r="L13" s="1"/>
      </tp>
      <tp t="s">
        <v>#N/A Requesting Data...3369184991</v>
        <stp/>
        <stp>BDP|8015794581510438046</stp>
        <tr r="I61" s="1"/>
      </tp>
      <tp t="s">
        <v>#N/A Requesting Data...3125842557</v>
        <stp/>
        <stp>BDP|8002624146825843826</stp>
        <tr r="G45" s="1"/>
      </tp>
      <tp t="s">
        <v>#N/A Requesting Data...1408857787</v>
        <stp/>
        <stp>BDP|9782453582473808175</stp>
        <tr r="F44" s="1"/>
      </tp>
      <tp t="s">
        <v>#N/A Requesting Data...3921182563</v>
        <stp/>
        <stp>BDP|4998651681868451568</stp>
        <tr r="B59" s="1"/>
      </tp>
      <tp t="s">
        <v>#N/A Requesting Data...3156399233</v>
        <stp/>
        <stp>BDP|4615144027259935931</stp>
        <tr r="D50" s="3"/>
      </tp>
      <tp t="s">
        <v>#N/A Requesting Data...2820345490</v>
        <stp/>
        <stp>BDP|7304270306603562186</stp>
        <tr r="J45" s="1"/>
      </tp>
      <tp t="s">
        <v>#N/A Requesting Data...4085424390</v>
        <stp/>
        <stp>BDP|3487929282036843301</stp>
        <tr r="F29" s="3"/>
      </tp>
      <tp t="s">
        <v>#N/A Requesting Data...2170717342</v>
        <stp/>
        <stp>BDP|6706945832959577291</stp>
        <tr r="F47" s="3"/>
      </tp>
      <tp t="s">
        <v>#N/A Requesting Data...1294601424</v>
        <stp/>
        <stp>BDP|5619230078921514653</stp>
        <tr r="C34" s="8"/>
      </tp>
      <tp t="s">
        <v>#N/A Requesting Data...1340794640</v>
        <stp/>
        <stp>BDP|2669500689101024922</stp>
        <tr r="E20" s="1"/>
      </tp>
      <tp t="s">
        <v>#N/A Requesting Data...4126207373</v>
        <stp/>
        <stp>BDP|9804198606109263674</stp>
        <tr r="K11" s="1"/>
      </tp>
      <tp t="s">
        <v>#N/A Requesting Data...2100618199</v>
        <stp/>
        <stp>BDP|6485681539146457224</stp>
        <tr r="D25" s="8"/>
      </tp>
      <tp t="s">
        <v>#N/A Requesting Data...2391794315</v>
        <stp/>
        <stp>BDP|5130531785848746732</stp>
        <tr r="J58" s="1"/>
      </tp>
      <tp t="s">
        <v>#N/A Requesting Data...2749974354</v>
        <stp/>
        <stp>BDP|6121766603707128161</stp>
        <tr r="D29" s="3"/>
      </tp>
      <tp t="s">
        <v>#N/A Requesting Data...1397562520</v>
        <stp/>
        <stp>BDP|6655265922568573947</stp>
        <tr r="E56" s="1"/>
      </tp>
      <tp t="s">
        <v>#N/A Requesting Data...3574027066</v>
        <stp/>
        <stp>BDP|8691765381380117005</stp>
        <tr r="D53" s="3"/>
      </tp>
      <tp t="s">
        <v>#N/A Requesting Data...2214525335</v>
        <stp/>
        <stp>BDP|8588302995920690566</stp>
        <tr r="D17" s="3"/>
      </tp>
      <tp t="s">
        <v>#N/A Requesting Data...2464864811</v>
        <stp/>
        <stp>BDP|2153318985836311867</stp>
        <tr r="E53" s="1"/>
      </tp>
      <tp t="s">
        <v>#N/A Requesting Data...2165768588</v>
        <stp/>
        <stp>BDP|6141181049174140016</stp>
        <tr r="G38" s="1"/>
      </tp>
      <tp t="s">
        <v>#N/A Requesting Data...1469325702</v>
        <stp/>
        <stp>BDP|2212034527583192419</stp>
        <tr r="F13" s="1"/>
      </tp>
      <tp t="s">
        <v>#N/A Requesting Data...1407298499</v>
        <stp/>
        <stp>BDP|1008648992938307134</stp>
        <tr r="D19" s="3"/>
      </tp>
      <tp t="s">
        <v>#N/A Requesting Data...3036413420</v>
        <stp/>
        <stp>BDP|1377633117637204636</stp>
        <tr r="K53" s="1"/>
      </tp>
      <tp t="s">
        <v>#N/A Requesting Data...1404703647</v>
        <stp/>
        <stp>BDP|5158554795066077872</stp>
        <tr r="K38" s="1"/>
      </tp>
      <tp t="s">
        <v>#N/A Requesting Data...3089972241</v>
        <stp/>
        <stp>BDP|1018717803255158456</stp>
        <tr r="D39" s="1"/>
      </tp>
      <tp t="s">
        <v>#N/A Requesting Data...4106989672</v>
        <stp/>
        <stp>BDP|8452262248499991042</stp>
        <tr r="F51" s="1"/>
      </tp>
      <tp t="s">
        <v>#N/A Requesting Data...4019762959</v>
        <stp/>
        <stp>BDP|3302849901748029417</stp>
        <tr r="H18" s="1"/>
      </tp>
      <tp t="s">
        <v>#N/A Requesting Data...1784677925</v>
        <stp/>
        <stp>BDP|2581786058952791551</stp>
        <tr r="F6" s="1"/>
      </tp>
      <tp t="s">
        <v>#N/A Requesting Data...2939982983</v>
        <stp/>
        <stp>BDP|9815467695162807147</stp>
        <tr r="L57" s="1"/>
      </tp>
      <tp t="s">
        <v>#N/A Requesting Data...2960496207</v>
        <stp/>
        <stp>BDP|7471762368621850052</stp>
        <tr r="D9" s="1"/>
      </tp>
      <tp t="s">
        <v>#N/A Requesting Data...1408065432</v>
        <stp/>
        <stp>BDP|7954169772101058793</stp>
        <tr r="F29" s="1"/>
      </tp>
      <tp t="s">
        <v>#N/A Requesting Data...3460684593</v>
        <stp/>
        <stp>BDP|8676851326840897592</stp>
        <tr r="B45" s="1"/>
      </tp>
      <tp t="s">
        <v>#N/A Requesting Data...1795613102</v>
        <stp/>
        <stp>BDP|8548131641315992841</stp>
        <tr r="H23" s="1"/>
      </tp>
      <tp t="s">
        <v>#N/A Requesting Data...1868834511</v>
        <stp/>
        <stp>BDP|5371886901144451951</stp>
        <tr r="L14" s="1"/>
      </tp>
      <tp t="s">
        <v>#N/A Requesting Data...2663564435</v>
        <stp/>
        <stp>BDP|7432494300476522509</stp>
        <tr r="D15" s="1"/>
      </tp>
      <tp t="s">
        <v>#N/A Requesting Data...1996682197</v>
        <stp/>
        <stp>BDP|4993776236210720063</stp>
        <tr r="D54" s="8"/>
      </tp>
      <tp t="s">
        <v>#N/A Requesting Data...4190235493</v>
        <stp/>
        <stp>BDP|7031773109825177518</stp>
        <tr r="D60" s="1"/>
      </tp>
      <tp t="s">
        <v>#N/A Requesting Data...2319121719</v>
        <stp/>
        <stp>BDP|9817635363750071971</stp>
        <tr r="B53" s="1"/>
      </tp>
      <tp t="s">
        <v>#N/A Requesting Data...3993011856</v>
        <stp/>
        <stp>BDP|5725351895939857621</stp>
        <tr r="B8" s="1"/>
      </tp>
      <tp t="s">
        <v>#N/A Requesting Data...2455615291</v>
        <stp/>
        <stp>BDP|4446574648110181578</stp>
        <tr r="B60" s="1"/>
      </tp>
      <tp t="s">
        <v>#N/A Requesting Data...1879079867</v>
        <stp/>
        <stp>BDP|6683843513717488886</stp>
        <tr r="B64" s="1"/>
      </tp>
      <tp t="s">
        <v>#N/A Requesting Data...2346441414</v>
        <stp/>
        <stp>BDP|5936785640063083536</stp>
        <tr r="K41" s="1"/>
      </tp>
      <tp t="s">
        <v>#N/A Requesting Data...3213575412</v>
        <stp/>
        <stp>BDP|7154757473855534207</stp>
        <tr r="I40" s="1"/>
      </tp>
      <tp t="s">
        <v>#N/A Requesting Data...3585376498</v>
        <stp/>
        <stp>BDP|1839514729490565663</stp>
        <tr r="L35" s="1"/>
      </tp>
      <tp t="s">
        <v>#N/A Requesting Data...2317483498</v>
        <stp/>
        <stp>BDP|2244078385763537955</stp>
        <tr r="H42" s="1"/>
      </tp>
      <tp t="s">
        <v>#N/A Requesting Data...4087385314</v>
        <stp/>
        <stp>BDP|7285353056986384729</stp>
        <tr r="F16" s="3"/>
      </tp>
      <tp t="s">
        <v>#N/A Requesting Data...3320413101</v>
        <stp/>
        <stp>BDP|3406184132336889771</stp>
        <tr r="E26" s="1"/>
      </tp>
      <tp t="s">
        <v>#N/A Requesting Data...2306429033</v>
        <stp/>
        <stp>BDP|4044176634491183739</stp>
        <tr r="E58" s="1"/>
      </tp>
      <tp t="s">
        <v>#N/A Requesting Data...1879491291</v>
        <stp/>
        <stp>BDP|2848900599632208059</stp>
        <tr r="B32" s="1"/>
      </tp>
      <tp t="s">
        <v>#N/A Requesting Data...1632977115</v>
        <stp/>
        <stp>BDP|7412133819253186498</stp>
        <tr r="I16" s="1"/>
      </tp>
      <tp t="s">
        <v>#N/A Requesting Data...4173120505</v>
        <stp/>
        <stp>BDP|2202809150968345777</stp>
        <tr r="J57" s="1"/>
      </tp>
      <tp t="s">
        <v>#N/A Requesting Data...3857611078</v>
        <stp/>
        <stp>BDP|9069421145471450850</stp>
        <tr r="D38" s="1"/>
      </tp>
      <tp t="s">
        <v>#N/A Requesting Data...3449117792</v>
        <stp/>
        <stp>BDP|6675270871460016377</stp>
        <tr r="H17" s="1"/>
      </tp>
      <tp t="s">
        <v>#N/A Requesting Data...2317584821</v>
        <stp/>
        <stp>BDP|1264537495164596955</stp>
        <tr r="J53" s="1"/>
      </tp>
      <tp t="s">
        <v>#N/A Requesting Data...1594184854</v>
        <stp/>
        <stp>BDP|4736371275212986289</stp>
        <tr r="I14" s="1"/>
      </tp>
      <tp t="s">
        <v>#N/A Requesting Data...1538779642</v>
        <stp/>
        <stp>BDP|6108120278264897467</stp>
        <tr r="D35" s="1"/>
      </tp>
      <tp t="s">
        <v>#N/A Requesting Data...2456345767</v>
        <stp/>
        <stp>BDP|6736698571352954538</stp>
        <tr r="K24" s="1"/>
      </tp>
      <tp t="s">
        <v>#N/A Requesting Data...2022873128</v>
        <stp/>
        <stp>BDP|1680497808760579578</stp>
        <tr r="I62" s="1"/>
      </tp>
      <tp t="s">
        <v>#N/A Requesting Data...2672604709</v>
        <stp/>
        <stp>BDP|7588284254584251514</stp>
        <tr r="D3" s="8"/>
      </tp>
      <tp t="s">
        <v>#N/A Requesting Data...3407397405</v>
        <stp/>
        <stp>BDP|2799253748633327633</stp>
        <tr r="J33" s="1"/>
      </tp>
      <tp t="s">
        <v>#N/A Requesting Data...1862793008</v>
        <stp/>
        <stp>BDP|6849928420894624878</stp>
        <tr r="E62" s="1"/>
      </tp>
      <tp t="s">
        <v>#N/A Requesting Data...2821666989</v>
        <stp/>
        <stp>BDP|9518074863446160899</stp>
        <tr r="I33" s="1"/>
      </tp>
      <tp t="s">
        <v>#N/A Requesting Data...2703129558</v>
        <stp/>
        <stp>BDP|6290588334719652871</stp>
        <tr r="K15" s="1"/>
      </tp>
      <tp t="s">
        <v>#N/A Requesting Data...3969116887</v>
        <stp/>
        <stp>BDP|1224706560716619795</stp>
        <tr r="D5" s="3"/>
      </tp>
      <tp t="s">
        <v>#N/A Requesting Data...3822986751</v>
        <stp/>
        <stp>BDP|6417531005827316524</stp>
        <tr r="I18" s="1"/>
      </tp>
      <tp t="s">
        <v>#N/A Requesting Data...2036851887</v>
        <stp/>
        <stp>BDP|5817934999657690376</stp>
        <tr r="E64" s="1"/>
      </tp>
      <tp t="s">
        <v>#N/A Requesting Data...1744788511</v>
        <stp/>
        <stp>BDP|5223464516348332929</stp>
        <tr r="D37" s="1"/>
      </tp>
      <tp t="s">
        <v>#N/A Requesting Data...2253424140</v>
        <stp/>
        <stp>BDP|9008952975177005132</stp>
        <tr r="F3" s="1"/>
      </tp>
      <tp t="s">
        <v>#N/A Requesting Data...4179852821</v>
        <stp/>
        <stp>BDP|4763871793273822787</stp>
        <tr r="D31" s="1"/>
      </tp>
      <tp t="s">
        <v>#N/A Requesting Data...3431060928</v>
        <stp/>
        <stp>BDP|6030285031574881217</stp>
        <tr r="D21" s="8"/>
      </tp>
      <tp t="s">
        <v>#N/A Requesting Data...4046916235</v>
        <stp/>
        <stp>BDP|3060274220121261349</stp>
        <tr r="H55" s="1"/>
      </tp>
      <tp t="s">
        <v>#N/A Requesting Data...2747711917</v>
        <stp/>
        <stp>BDP|5400652910006795578</stp>
        <tr r="B35" s="1"/>
      </tp>
      <tp t="s">
        <v>#N/A Requesting Data...2793794747</v>
        <stp/>
        <stp>BDP|6034205262713053036</stp>
        <tr r="G47" s="1"/>
      </tp>
      <tp t="s">
        <v>#N/A Requesting Data...3137419312</v>
        <stp/>
        <stp>BDP|7170392310240844463</stp>
        <tr r="E42" s="1"/>
      </tp>
      <tp t="s">
        <v>#N/A Requesting Data...3029815101</v>
        <stp/>
        <stp>BDP|3750638516314671100</stp>
        <tr r="D33" s="1"/>
      </tp>
      <tp t="s">
        <v>#N/A Requesting Data...1468913866</v>
        <stp/>
        <stp>BDP|6449278511705111171</stp>
        <tr r="D41" s="8"/>
      </tp>
      <tp t="s">
        <v>#N/A Requesting Data...2174658666</v>
        <stp/>
        <stp>BDP|2706856181656290554</stp>
        <tr r="C16" s="8"/>
      </tp>
      <tp t="s">
        <v>#N/A N/A</v>
        <stp/>
        <stp>BDP|6550870591272490432</stp>
        <tr r="C58" s="8"/>
      </tp>
      <tp t="s">
        <v>#N/A Requesting Data...2517920945</v>
        <stp/>
        <stp>BDP|1188533466175322627</stp>
        <tr r="H26" s="1"/>
      </tp>
      <tp t="s">
        <v>#N/A Requesting Data...2200205811</v>
        <stp/>
        <stp>BDP|7481365142764223578</stp>
        <tr r="H27" s="1"/>
      </tp>
      <tp t="s">
        <v>#N/A Requesting Data...2142715250</v>
        <stp/>
        <stp>BDP|3274438377993605256</stp>
        <tr r="D28" s="8"/>
      </tp>
      <tp t="s">
        <v>#N/A Requesting Data...3835103039</v>
        <stp/>
        <stp>BDP|7954021637063282548</stp>
        <tr r="I19" s="1"/>
      </tp>
      <tp t="s">
        <v>#N/A Requesting Data...2439863263</v>
        <stp/>
        <stp>BDP|9059097685066023578</stp>
        <tr r="H37" s="1"/>
      </tp>
      <tp t="s">
        <v>#N/A Requesting Data...1636680924</v>
        <stp/>
        <stp>BDP|7609496960336321148</stp>
        <tr r="F32" s="3"/>
      </tp>
      <tp t="s">
        <v>#N/A Requesting Data...4236470020</v>
        <stp/>
        <stp>BDP|4943760832957153551</stp>
        <tr r="K57" s="1"/>
      </tp>
      <tp t="s">
        <v>#N/A Requesting Data...3056519817</v>
        <stp/>
        <stp>BDP|9907235499957951735</stp>
        <tr r="I47" s="1"/>
      </tp>
      <tp t="s">
        <v>#N/A Requesting Data...2907595166</v>
        <stp/>
        <stp>BDP|2363940734853785984</stp>
        <tr r="F54" s="1"/>
      </tp>
      <tp t="s">
        <v>#N/A Requesting Data...2307409787</v>
        <stp/>
        <stp>BDP|1201481663868798925</stp>
        <tr r="D9" s="3"/>
      </tp>
      <tp t="s">
        <v>#N/A Requesting Data...3610138150</v>
        <stp/>
        <stp>BDP|3577604358284390635</stp>
        <tr r="E65" s="1"/>
      </tp>
      <tp t="s">
        <v>#N/A Requesting Data...3288438498</v>
        <stp/>
        <stp>BDP|9701048033688469096</stp>
        <tr r="E60" s="1"/>
      </tp>
      <tp t="s">
        <v>#N/A Requesting Data...3567801580</v>
        <stp/>
        <stp>BDP|1845198631672681341</stp>
        <tr r="L7" s="1"/>
      </tp>
      <tp t="s">
        <v>#N/A Requesting Data...2458915129</v>
        <stp/>
        <stp>BDP|8666932373406039267</stp>
        <tr r="F21" s="3"/>
      </tp>
      <tp t="s">
        <v>#N/A Requesting Data...2794703753</v>
        <stp/>
        <stp>BDP|4127187666855926468</stp>
        <tr r="D4" s="8"/>
      </tp>
      <tp t="s">
        <v>#N/A Requesting Data...1861124813</v>
        <stp/>
        <stp>BDP|8704445186997159150</stp>
        <tr r="D17" s="8"/>
      </tp>
      <tp t="s">
        <v>#N/A Requesting Data...4291581731</v>
        <stp/>
        <stp>BDP|1148435998306392881</stp>
        <tr r="H64" s="1"/>
      </tp>
      <tp t="s">
        <v>#N/A Requesting Data...3737029573</v>
        <stp/>
        <stp>BDP|2605347529056938736</stp>
        <tr r="G64" s="1"/>
      </tp>
      <tp t="s">
        <v>#N/A Requesting Data...1966163107</v>
        <stp/>
        <stp>BDP|6580249106901481727</stp>
        <tr r="D2" s="8"/>
      </tp>
      <tp t="s">
        <v>#N/A Requesting Data...2198676353</v>
        <stp/>
        <stp>BDP|8454414695116696109</stp>
        <tr r="G53" s="1"/>
      </tp>
      <tp t="s">
        <v>#N/A Requesting Data...1628523829</v>
        <stp/>
        <stp>BDP|4777602742934256032</stp>
        <tr r="F53" s="1"/>
      </tp>
      <tp t="s">
        <v>#N/A Requesting Data...1915037263</v>
        <stp/>
        <stp>BDP|5619138895939165650</stp>
        <tr r="G59" s="1"/>
      </tp>
      <tp t="s">
        <v>#N/A Requesting Data...4118224571</v>
        <stp/>
        <stp>BDP|1491178172512084741</stp>
        <tr r="F46" s="1"/>
      </tp>
      <tp t="s">
        <v>#N/A Requesting Data...1457885374</v>
        <stp/>
        <stp>BDP|4692036306341435723</stp>
        <tr r="G49" s="1"/>
      </tp>
      <tp t="s">
        <v>#N/A Requesting Data...3014812170</v>
        <stp/>
        <stp>BDP|6370362262417997742</stp>
        <tr r="K6" s="1"/>
      </tp>
      <tp t="s">
        <v>#N/A Requesting Data...1445856932</v>
        <stp/>
        <stp>BDP|8872257686414174502</stp>
        <tr r="I38" s="1"/>
      </tp>
      <tp t="s">
        <v>#N/A Requesting Data...3386157651</v>
        <stp/>
        <stp>BDP|4383599120841218132</stp>
        <tr r="D36" s="8"/>
      </tp>
      <tp t="s">
        <v>#N/A Requesting Data...4027092952</v>
        <stp/>
        <stp>BDP|5238751859002074657</stp>
        <tr r="H49" s="1"/>
      </tp>
      <tp t="s">
        <v>#N/A Requesting Data...2081389112</v>
        <stp/>
        <stp>BDP|2966568540941018144</stp>
        <tr r="E16" s="1"/>
      </tp>
      <tp t="s">
        <v>#N/A Requesting Data...3654171650</v>
        <stp/>
        <stp>BDP|2086138847873846747</stp>
        <tr r="D42" s="8"/>
      </tp>
      <tp t="s">
        <v>#N/A Requesting Data...4037993349</v>
        <stp/>
        <stp>BDP|1689624848560111043</stp>
        <tr r="B28" s="1"/>
      </tp>
      <tp t="s">
        <v>#N/A Requesting Data...2362013387</v>
        <stp/>
        <stp>BDP|6803567363694489203</stp>
        <tr r="D57" s="8"/>
      </tp>
      <tp t="s">
        <v>#N/A Requesting Data...1880316701</v>
        <stp/>
        <stp>BDP|6879949794634020117</stp>
        <tr r="D32" s="1"/>
      </tp>
      <tp t="s">
        <v>#N/A Requesting Data...3843565269</v>
        <stp/>
        <stp>BDP|3813677250936627543</stp>
        <tr r="I21" s="1"/>
      </tp>
      <tp t="s">
        <v>#N/A Requesting Data...2580736330</v>
        <stp/>
        <stp>BDP|7400536853170812416</stp>
        <tr r="E28" s="1"/>
      </tp>
      <tp t="s">
        <v>#N/A Requesting Data...3000338715</v>
        <stp/>
        <stp>BDP|3139808067839688721</stp>
        <tr r="B3" s="1"/>
      </tp>
      <tp t="s">
        <v>#N/A Requesting Data...2286184199</v>
        <stp/>
        <stp>BDP|8200919120324747462</stp>
        <tr r="F7" s="3"/>
      </tp>
      <tp t="s">
        <v>#N/A Requesting Data...2715341678</v>
        <stp/>
        <stp>BDP|5327638550100729544</stp>
        <tr r="H41" s="1"/>
      </tp>
      <tp t="s">
        <v>#N/A Requesting Data...2226773183</v>
        <stp/>
        <stp>BDP|6123521853766023318</stp>
        <tr r="B13" s="1"/>
      </tp>
      <tp t="s">
        <v>#N/A Requesting Data...2389862198</v>
        <stp/>
        <stp>BDP|3219659043364787621</stp>
        <tr r="L56" s="1"/>
      </tp>
      <tp t="s">
        <v>#N/A Requesting Data...1580433309</v>
        <stp/>
        <stp>BDP|5708631904845685500</stp>
        <tr r="E18" s="1"/>
      </tp>
      <tp t="s">
        <v>#N/A Requesting Data...4258399400</v>
        <stp/>
        <stp>BDP|9585091568638082431</stp>
        <tr r="D31" s="8"/>
      </tp>
      <tp t="s">
        <v>#N/A Requesting Data...2437078437</v>
        <stp/>
        <stp>BDP|2389634033516363243</stp>
        <tr r="J43" s="1"/>
      </tp>
      <tp t="s">
        <v>#N/A Requesting Data...3889582221</v>
        <stp/>
        <stp>BDP|6515613306745268646</stp>
        <tr r="J46" s="1"/>
      </tp>
      <tp t="s">
        <v>#N/A Requesting Data...4221787193</v>
        <stp/>
        <stp>BDP|43491604529859550</stp>
        <tr r="J49" s="1"/>
      </tp>
      <tp t="s">
        <v>#N/A Requesting Data...4145363157</v>
        <stp/>
        <stp>BDP|63626811719345574</stp>
        <tr r="E27" s="1"/>
      </tp>
      <tp t="s">
        <v>#N/A Requesting Data...1836170685</v>
        <stp/>
        <stp>BDP|56035221880240335</stp>
        <tr r="F37" s="1"/>
      </tp>
      <tp t="s">
        <v>#N/A Requesting Data...3327710110</v>
        <stp/>
        <stp>BDP|55084390454018945</stp>
        <tr r="J16" s="1"/>
      </tp>
      <tp t="s">
        <v>#N/A Requesting Data...2412525738</v>
        <stp/>
        <stp>BDP|66828816476791959</stp>
        <tr r="F61" s="1"/>
      </tp>
      <tp t="s">
        <v>#N/A Requesting Data...2530051331</v>
        <stp/>
        <stp>BDP|49709104778519939</stp>
        <tr r="B6" s="1"/>
      </tp>
      <tp t="s">
        <v>#N/A Requesting Data...3452370700</v>
        <stp/>
        <stp>BDP|983030014535444150</stp>
        <tr r="I6" s="1"/>
      </tp>
      <tp t="s">
        <v>#N/A Requesting Data...3482962886</v>
        <stp/>
        <stp>BDP|884189968744623667</stp>
        <tr r="H45" s="1"/>
      </tp>
      <tp t="s">
        <v>#N/A Requesting Data...1885942785</v>
        <stp/>
        <stp>BDP|898311273255626471</stp>
        <tr r="D21" s="1"/>
      </tp>
      <tp t="s">
        <v>#N/A Requesting Data...4273562636</v>
        <stp/>
        <stp>BDP|126339261480922018</stp>
        <tr r="D48" s="8"/>
      </tp>
      <tp t="s">
        <v>#N/A Requesting Data...2988652073</v>
        <stp/>
        <stp>BDP|388694417827933518</stp>
        <tr r="F28" s="3"/>
      </tp>
      <tp t="s">
        <v>#N/A Requesting Data...2778024543</v>
        <stp/>
        <stp>BDP|194058022093667466</stp>
        <tr r="E19" s="1"/>
      </tp>
      <tp t="s">
        <v>#N/A Requesting Data...2655457866</v>
        <stp/>
        <stp>BDP|746951024847456902</stp>
        <tr r="L32" s="1"/>
      </tp>
      <tp t="s">
        <v>#N/A Requesting Data...3270192033</v>
        <stp/>
        <stp>BDP|936645055031967735</stp>
        <tr r="D54" s="1"/>
      </tp>
      <tp t="s">
        <v>#N/A Requesting Data...3909696030</v>
        <stp/>
        <stp>BDP|930048007036341267</stp>
        <tr r="B9" s="1"/>
      </tp>
      <tp t="s">
        <v>#N/A Requesting Data...3791694284</v>
        <stp/>
        <stp>BDP|770783366825686077</stp>
        <tr r="H43" s="1"/>
      </tp>
      <tp t="s">
        <v>#N/A Requesting Data...2156416155</v>
        <stp/>
        <stp>BDP|167877102337489826</stp>
        <tr r="F62" s="1"/>
      </tp>
      <tp t="s">
        <v>#N/A Requesting Data...2471808374</v>
        <stp/>
        <stp>BDP|206104579159731946</stp>
        <tr r="H16" s="1"/>
      </tp>
      <tp t="s">
        <v>#N/A Requesting Data...3201700095</v>
        <stp/>
        <stp>BDP|817648914035765454</stp>
        <tr r="B20" s="1"/>
      </tp>
      <tp t="s">
        <v>#N/A Requesting Data...2286815993</v>
        <stp/>
        <stp>BDP|747100691597339949</stp>
        <tr r="G22" s="1"/>
      </tp>
      <tp t="s">
        <v>#N/A Requesting Data...2482105758</v>
        <stp/>
        <stp>BDP|578013263100998704</stp>
        <tr r="D16" s="8"/>
      </tp>
      <tp t="s">
        <v>#N/A Requesting Data...1977863518</v>
        <stp/>
        <stp>BDP|155545053310966116</stp>
        <tr r="C50" s="8"/>
      </tp>
      <tp t="s">
        <v>#N/A Requesting Data...1596267055</v>
        <stp/>
        <stp>BDP|462294840995532210</stp>
        <tr r="K39" s="1"/>
      </tp>
      <tp t="s">
        <v>#N/A Requesting Data...3320910127</v>
        <stp/>
        <stp>BDP|128214269181492499</stp>
        <tr r="L55" s="1"/>
      </tp>
      <tp t="s">
        <v>#N/A Requesting Data...2173422988</v>
        <stp/>
        <stp>BDP|481371945902357401</stp>
        <tr r="H25" s="1"/>
      </tp>
      <tp t="s">
        <v>#N/A Requesting Data...2898496886</v>
        <stp/>
        <stp>BDP|143414477056437427</stp>
        <tr r="C12" s="8"/>
      </tp>
      <tp t="s">
        <v>#N/A Requesting Data...3302666060</v>
        <stp/>
        <stp>BDP|699247447003141588</stp>
        <tr r="L3" s="1"/>
      </tp>
      <tp t="s">
        <v>#N/A Requesting Data...3164382131</v>
        <stp/>
        <stp>BDP|536239361233181761</stp>
        <tr r="F9" s="3"/>
      </tp>
      <tp t="s">
        <v>#N/A Requesting Data...1614661129</v>
        <stp/>
        <stp>BDP|571138148832121484</stp>
        <tr r="F58" s="3"/>
      </tp>
      <tp t="s">
        <v>#N/A Requesting Data...3663504196</v>
        <stp/>
        <stp>BDP|750651518544522104</stp>
        <tr r="F27" s="1"/>
      </tp>
      <tp t="s">
        <v>#N/A Requesting Data...2999228279</v>
        <stp/>
        <stp>BDP|829083487743480916</stp>
        <tr r="L25" s="1"/>
      </tp>
      <tp t="s">
        <v>#N/A Requesting Data...3413902802</v>
        <stp/>
        <stp>BDP|173310981723308550</stp>
        <tr r="D54" s="3"/>
      </tp>
      <tp t="s">
        <v>#N/A Requesting Data...3270564392</v>
        <stp/>
        <stp>BDP|767472376469554709</stp>
        <tr r="D27" s="3"/>
      </tp>
      <tp t="s">
        <v>#N/A Requesting Data...2430862500</v>
        <stp/>
        <stp>BDP|571160283715883046</stp>
        <tr r="F25" s="3"/>
      </tp>
      <tp t="s">
        <v>#N/A Requesting Data...3488507586</v>
        <stp/>
        <stp>BDP|855154344771687852</stp>
        <tr r="D55" s="8"/>
      </tp>
      <tp t="s">
        <v>#N/A Requesting Data...3691950045</v>
        <stp/>
        <stp>BDP|368884545499819918</stp>
        <tr r="H39" s="1"/>
      </tp>
      <tp t="s">
        <v>#N/A Requesting Data...2139482953</v>
        <stp/>
        <stp>BDP|195412135079270203</stp>
        <tr r="L19" s="1"/>
      </tp>
      <tp t="s">
        <v>#N/A Requesting Data...2680692090</v>
        <stp/>
        <stp>BDP|851812156082086010</stp>
        <tr r="D20" s="8"/>
      </tp>
      <tp t="s">
        <v>#N/A Requesting Data...2812104063</v>
        <stp/>
        <stp>BDP|512790094104358529</stp>
        <tr r="D28" s="1"/>
      </tp>
      <tp t="s">
        <v>#N/A Requesting Data...1422390354</v>
        <stp/>
        <stp>BDP|883817085798380622</stp>
        <tr r="E35" s="1"/>
      </tp>
      <tp t="s">
        <v>#N/A Requesting Data...3144780138</v>
        <stp/>
        <stp>BDP|389355861823927846</stp>
        <tr r="F10" s="1"/>
      </tp>
      <tp t="s">
        <v>#N/A Requesting Data...3887385438</v>
        <stp/>
        <stp>BDP|575241898506287438</stp>
        <tr r="J62" s="1"/>
      </tp>
      <tp t="s">
        <v>#N/A Requesting Data...2054052688</v>
        <stp/>
        <stp>BDP|884077786781916089</stp>
        <tr r="F10" s="3"/>
      </tp>
      <tp t="s">
        <v>#N/A Requesting Data...3884527605</v>
        <stp/>
        <stp>BDP|633509946289393183</stp>
        <tr r="B14" s="1"/>
      </tp>
      <tp t="s">
        <v>#N/A Requesting Data...2515418741</v>
        <stp/>
        <stp>BDP|897022088045271407</stp>
        <tr r="E13" s="1"/>
      </tp>
      <tp t="s">
        <v>#N/A Requesting Data...3820247552</v>
        <stp/>
        <stp>BDP|108867210184629432</stp>
        <tr r="L37" s="1"/>
      </tp>
      <tp t="s">
        <v>#N/A Requesting Data...3726472439</v>
        <stp/>
        <stp>BDP|210042220252301975</stp>
        <tr r="D32" s="8"/>
      </tp>
      <tp t="s">
        <v>#N/A Requesting Data...3375286353</v>
        <stp/>
        <stp>BDP|838147987805249734</stp>
        <tr r="D46" s="1"/>
      </tp>
      <tp t="s">
        <v>#N/A Requesting Data...2780147902</v>
        <stp/>
        <stp>BDP|390963363624481089</stp>
        <tr r="F60" s="3"/>
      </tp>
      <tp t="s">
        <v>#N/A Requesting Data...2195510932</v>
        <stp/>
        <stp>BDP|372152988796963466</stp>
        <tr r="J42" s="1"/>
      </tp>
      <tp t="s">
        <v>#N/A Requesting Data...3217644124</v>
        <stp/>
        <stp>BDP|127721030139118727</stp>
        <tr r="C57" s="8"/>
      </tp>
      <tp t="s">
        <v>#N/A Requesting Data...3161539059</v>
        <stp/>
        <stp>BDP|560914612363473130</stp>
        <tr r="C5" s="8"/>
      </tp>
    </main>
  </volType>
</volTypes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volatileDependencies" Target="volatileDependencies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193E9C-65AA-4FA9-9C0A-312AB6C63EE4}">
  <dimension ref="A1:P65"/>
  <sheetViews>
    <sheetView workbookViewId="0">
      <selection activeCell="O15" sqref="O15"/>
    </sheetView>
  </sheetViews>
  <sheetFormatPr defaultRowHeight="15" x14ac:dyDescent="0.25"/>
  <cols>
    <col min="1" max="1" width="17.28515625" bestFit="1" customWidth="1"/>
    <col min="2" max="2" width="12.7109375" bestFit="1" customWidth="1"/>
    <col min="3" max="3" width="14.140625" bestFit="1" customWidth="1"/>
    <col min="4" max="4" width="15.7109375" bestFit="1" customWidth="1"/>
    <col min="5" max="5" width="16.140625" bestFit="1" customWidth="1"/>
    <col min="6" max="6" width="6.28515625" bestFit="1" customWidth="1"/>
    <col min="7" max="7" width="9" bestFit="1" customWidth="1"/>
    <col min="8" max="8" width="10.42578125" bestFit="1" customWidth="1"/>
    <col min="9" max="10" width="9" bestFit="1" customWidth="1"/>
    <col min="11" max="11" width="10.42578125" bestFit="1" customWidth="1"/>
    <col min="12" max="12" width="12" style="8" bestFit="1" customWidth="1"/>
    <col min="13" max="13" width="9.42578125" style="8" bestFit="1" customWidth="1"/>
    <col min="14" max="14" width="12.28515625" bestFit="1" customWidth="1"/>
  </cols>
  <sheetData>
    <row r="1" spans="1:16" x14ac:dyDescent="0.25">
      <c r="A1" t="s">
        <v>612</v>
      </c>
      <c r="B1" t="s">
        <v>613</v>
      </c>
      <c r="C1" t="s">
        <v>614</v>
      </c>
      <c r="D1" t="s">
        <v>615</v>
      </c>
      <c r="E1" t="s">
        <v>616</v>
      </c>
      <c r="F1" t="s">
        <v>618</v>
      </c>
      <c r="G1" t="s">
        <v>619</v>
      </c>
      <c r="H1" t="s">
        <v>620</v>
      </c>
      <c r="I1" t="s">
        <v>621</v>
      </c>
      <c r="J1" t="s">
        <v>622</v>
      </c>
      <c r="K1" t="s">
        <v>623</v>
      </c>
      <c r="L1" s="8" t="s">
        <v>624</v>
      </c>
      <c r="M1" s="8" t="s">
        <v>625</v>
      </c>
      <c r="N1" t="s">
        <v>629</v>
      </c>
      <c r="O1" t="s">
        <v>617</v>
      </c>
      <c r="P1" t="s">
        <v>630</v>
      </c>
    </row>
    <row r="2" spans="1:16" x14ac:dyDescent="0.25">
      <c r="A2" t="s">
        <v>372</v>
      </c>
      <c r="B2" t="s">
        <v>41</v>
      </c>
      <c r="C2" t="s">
        <v>373</v>
      </c>
      <c r="D2" t="s">
        <v>374</v>
      </c>
      <c r="E2" t="s">
        <v>375</v>
      </c>
      <c r="F2" t="s">
        <v>376</v>
      </c>
      <c r="G2" t="s">
        <v>374</v>
      </c>
      <c r="H2" t="s">
        <v>377</v>
      </c>
      <c r="I2" t="s">
        <v>378</v>
      </c>
      <c r="J2" t="s">
        <v>379</v>
      </c>
      <c r="K2" t="s">
        <v>379</v>
      </c>
      <c r="L2" s="8">
        <v>21</v>
      </c>
      <c r="M2" s="8">
        <v>15489.18</v>
      </c>
    </row>
    <row r="3" spans="1:16" x14ac:dyDescent="0.25">
      <c r="A3" t="s">
        <v>380</v>
      </c>
      <c r="B3" t="s">
        <v>62</v>
      </c>
      <c r="C3" t="s">
        <v>381</v>
      </c>
      <c r="D3" t="s">
        <v>374</v>
      </c>
      <c r="E3" t="s">
        <v>382</v>
      </c>
      <c r="F3" t="s">
        <v>383</v>
      </c>
      <c r="G3" t="s">
        <v>379</v>
      </c>
      <c r="H3" t="s">
        <v>379</v>
      </c>
      <c r="I3" t="s">
        <v>378</v>
      </c>
      <c r="J3" t="s">
        <v>379</v>
      </c>
      <c r="K3" t="s">
        <v>379</v>
      </c>
      <c r="L3" s="8">
        <v>21</v>
      </c>
      <c r="M3" s="8">
        <v>6887.46</v>
      </c>
    </row>
    <row r="4" spans="1:16" x14ac:dyDescent="0.25">
      <c r="A4" t="s">
        <v>181</v>
      </c>
      <c r="B4" t="s">
        <v>181</v>
      </c>
      <c r="C4" t="s">
        <v>132</v>
      </c>
      <c r="D4" t="s">
        <v>374</v>
      </c>
      <c r="E4" t="s">
        <v>384</v>
      </c>
      <c r="F4" t="s">
        <v>294</v>
      </c>
      <c r="G4" t="s">
        <v>374</v>
      </c>
      <c r="H4" t="s">
        <v>385</v>
      </c>
      <c r="I4" t="s">
        <v>114</v>
      </c>
      <c r="J4" t="s">
        <v>374</v>
      </c>
      <c r="K4" t="s">
        <v>386</v>
      </c>
      <c r="L4" s="8">
        <v>3.3333333333333335</v>
      </c>
      <c r="M4" s="8">
        <v>140.762</v>
      </c>
    </row>
    <row r="5" spans="1:16" x14ac:dyDescent="0.25">
      <c r="A5" t="s">
        <v>388</v>
      </c>
      <c r="B5" t="s">
        <v>54</v>
      </c>
      <c r="C5" t="s">
        <v>131</v>
      </c>
      <c r="D5" t="s">
        <v>374</v>
      </c>
      <c r="E5" t="s">
        <v>389</v>
      </c>
      <c r="F5" t="s">
        <v>390</v>
      </c>
      <c r="G5" t="s">
        <v>374</v>
      </c>
      <c r="H5" t="s">
        <v>391</v>
      </c>
      <c r="I5" t="s">
        <v>115</v>
      </c>
      <c r="J5" t="s">
        <v>374</v>
      </c>
      <c r="K5" t="s">
        <v>392</v>
      </c>
      <c r="L5" s="8">
        <v>4.666666666666667</v>
      </c>
      <c r="M5" s="8">
        <v>146.27199999999999</v>
      </c>
    </row>
    <row r="6" spans="1:16" x14ac:dyDescent="0.25">
      <c r="A6" t="s">
        <v>393</v>
      </c>
      <c r="B6" t="s">
        <v>24</v>
      </c>
      <c r="C6" t="s">
        <v>129</v>
      </c>
      <c r="D6" t="s">
        <v>374</v>
      </c>
      <c r="E6" t="s">
        <v>394</v>
      </c>
      <c r="F6" t="s">
        <v>390</v>
      </c>
      <c r="G6" t="s">
        <v>374</v>
      </c>
      <c r="H6" t="s">
        <v>395</v>
      </c>
      <c r="I6" t="s">
        <v>396</v>
      </c>
      <c r="J6" t="s">
        <v>374</v>
      </c>
      <c r="K6" t="s">
        <v>397</v>
      </c>
      <c r="L6" s="8">
        <v>5.333333333333333</v>
      </c>
      <c r="M6" s="8">
        <v>117.57</v>
      </c>
    </row>
    <row r="7" spans="1:16" x14ac:dyDescent="0.25">
      <c r="A7" t="s">
        <v>398</v>
      </c>
      <c r="B7" t="s">
        <v>23</v>
      </c>
      <c r="C7" t="s">
        <v>133</v>
      </c>
      <c r="D7" t="s">
        <v>374</v>
      </c>
      <c r="E7" t="s">
        <v>399</v>
      </c>
      <c r="F7" t="s">
        <v>116</v>
      </c>
      <c r="G7" t="s">
        <v>374</v>
      </c>
      <c r="H7" t="s">
        <v>400</v>
      </c>
      <c r="I7" t="s">
        <v>117</v>
      </c>
      <c r="J7" t="s">
        <v>374</v>
      </c>
      <c r="K7" t="s">
        <v>401</v>
      </c>
      <c r="L7" s="8">
        <v>6.333333333333333</v>
      </c>
      <c r="M7" s="8">
        <v>155.06</v>
      </c>
    </row>
    <row r="8" spans="1:16" x14ac:dyDescent="0.25">
      <c r="A8" t="s">
        <v>402</v>
      </c>
      <c r="B8" t="s">
        <v>52</v>
      </c>
      <c r="C8" t="s">
        <v>133</v>
      </c>
      <c r="D8" t="s">
        <v>403</v>
      </c>
      <c r="E8" t="s">
        <v>404</v>
      </c>
      <c r="F8" t="s">
        <v>117</v>
      </c>
      <c r="G8" t="s">
        <v>374</v>
      </c>
      <c r="H8" t="s">
        <v>405</v>
      </c>
      <c r="I8" t="s">
        <v>117</v>
      </c>
      <c r="J8" t="s">
        <v>403</v>
      </c>
      <c r="K8" t="s">
        <v>406</v>
      </c>
      <c r="L8" s="8">
        <v>6.666666666666667</v>
      </c>
      <c r="M8" s="8">
        <v>143.28</v>
      </c>
    </row>
    <row r="9" spans="1:16" x14ac:dyDescent="0.25">
      <c r="A9" t="s">
        <v>407</v>
      </c>
      <c r="B9" t="s">
        <v>90</v>
      </c>
      <c r="C9" t="s">
        <v>134</v>
      </c>
      <c r="D9" t="s">
        <v>374</v>
      </c>
      <c r="E9" t="s">
        <v>408</v>
      </c>
      <c r="F9" t="s">
        <v>117</v>
      </c>
      <c r="G9" t="s">
        <v>374</v>
      </c>
      <c r="H9" t="s">
        <v>409</v>
      </c>
      <c r="I9" t="s">
        <v>118</v>
      </c>
      <c r="J9" t="s">
        <v>374</v>
      </c>
      <c r="K9" t="s">
        <v>410</v>
      </c>
      <c r="L9" s="8">
        <v>7.333333333333333</v>
      </c>
      <c r="M9" s="8">
        <v>117.64</v>
      </c>
    </row>
    <row r="10" spans="1:16" x14ac:dyDescent="0.25">
      <c r="A10" t="s">
        <v>411</v>
      </c>
      <c r="B10" t="s">
        <v>61</v>
      </c>
      <c r="C10" t="s">
        <v>135</v>
      </c>
      <c r="D10" t="s">
        <v>374</v>
      </c>
      <c r="E10" t="s">
        <v>412</v>
      </c>
      <c r="F10" t="s">
        <v>118</v>
      </c>
      <c r="G10" t="s">
        <v>374</v>
      </c>
      <c r="H10" t="s">
        <v>413</v>
      </c>
      <c r="I10" t="s">
        <v>148</v>
      </c>
      <c r="J10" t="s">
        <v>374</v>
      </c>
      <c r="K10" t="s">
        <v>414</v>
      </c>
      <c r="L10" s="8">
        <v>8.3333333333333339</v>
      </c>
      <c r="M10" s="8">
        <v>132.05000000000001</v>
      </c>
    </row>
    <row r="11" spans="1:16" x14ac:dyDescent="0.25">
      <c r="A11" t="s">
        <v>415</v>
      </c>
      <c r="B11" t="s">
        <v>51</v>
      </c>
      <c r="C11" t="s">
        <v>136</v>
      </c>
      <c r="D11" t="s">
        <v>374</v>
      </c>
      <c r="E11" t="s">
        <v>416</v>
      </c>
      <c r="F11" t="s">
        <v>118</v>
      </c>
      <c r="G11" t="s">
        <v>374</v>
      </c>
      <c r="H11" t="s">
        <v>417</v>
      </c>
      <c r="I11" t="s">
        <v>148</v>
      </c>
      <c r="J11" t="s">
        <v>403</v>
      </c>
      <c r="K11" t="s">
        <v>418</v>
      </c>
      <c r="L11" s="8">
        <v>8.6666666666666661</v>
      </c>
      <c r="M11" s="8">
        <v>137.24</v>
      </c>
    </row>
    <row r="12" spans="1:16" x14ac:dyDescent="0.25">
      <c r="A12" t="s">
        <v>419</v>
      </c>
      <c r="B12" t="s">
        <v>304</v>
      </c>
      <c r="C12" t="s">
        <v>136</v>
      </c>
      <c r="D12" t="s">
        <v>403</v>
      </c>
      <c r="E12" t="s">
        <v>420</v>
      </c>
      <c r="F12" t="s">
        <v>148</v>
      </c>
      <c r="G12" t="s">
        <v>374</v>
      </c>
      <c r="H12" t="s">
        <v>421</v>
      </c>
      <c r="I12" t="s">
        <v>148</v>
      </c>
      <c r="J12" t="s">
        <v>403</v>
      </c>
      <c r="K12" t="s">
        <v>422</v>
      </c>
      <c r="L12" s="8">
        <v>9</v>
      </c>
      <c r="M12" s="8">
        <v>158.13999999999999</v>
      </c>
    </row>
    <row r="13" spans="1:16" x14ac:dyDescent="0.25">
      <c r="A13" t="s">
        <v>423</v>
      </c>
      <c r="B13" t="s">
        <v>39</v>
      </c>
      <c r="C13" t="s">
        <v>135</v>
      </c>
      <c r="D13" t="s">
        <v>374</v>
      </c>
      <c r="E13" t="s">
        <v>424</v>
      </c>
      <c r="F13" t="s">
        <v>119</v>
      </c>
      <c r="G13" t="s">
        <v>425</v>
      </c>
      <c r="H13" t="s">
        <v>426</v>
      </c>
      <c r="I13" t="s">
        <v>148</v>
      </c>
      <c r="J13" t="s">
        <v>374</v>
      </c>
      <c r="K13" t="s">
        <v>427</v>
      </c>
      <c r="L13" s="8">
        <v>9</v>
      </c>
      <c r="M13" s="8">
        <v>136.07</v>
      </c>
    </row>
    <row r="14" spans="1:16" x14ac:dyDescent="0.25">
      <c r="A14" t="s">
        <v>428</v>
      </c>
      <c r="B14" t="s">
        <v>50</v>
      </c>
      <c r="C14" t="s">
        <v>135</v>
      </c>
      <c r="D14" t="s">
        <v>374</v>
      </c>
      <c r="E14" t="s">
        <v>429</v>
      </c>
      <c r="F14" t="s">
        <v>119</v>
      </c>
      <c r="G14" t="s">
        <v>374</v>
      </c>
      <c r="H14" t="s">
        <v>430</v>
      </c>
      <c r="I14" t="s">
        <v>148</v>
      </c>
      <c r="J14" t="s">
        <v>374</v>
      </c>
      <c r="K14" t="s">
        <v>431</v>
      </c>
      <c r="L14" s="8">
        <v>9</v>
      </c>
      <c r="M14" s="8">
        <v>176.15</v>
      </c>
    </row>
    <row r="15" spans="1:16" x14ac:dyDescent="0.25">
      <c r="A15" t="s">
        <v>432</v>
      </c>
      <c r="B15" t="s">
        <v>34</v>
      </c>
      <c r="C15" t="s">
        <v>136</v>
      </c>
      <c r="D15" t="s">
        <v>403</v>
      </c>
      <c r="E15" t="s">
        <v>433</v>
      </c>
      <c r="F15" t="s">
        <v>119</v>
      </c>
      <c r="G15" t="s">
        <v>403</v>
      </c>
      <c r="H15" t="s">
        <v>434</v>
      </c>
      <c r="I15" t="s">
        <v>148</v>
      </c>
      <c r="J15" t="s">
        <v>403</v>
      </c>
      <c r="K15" t="s">
        <v>435</v>
      </c>
      <c r="L15" s="8">
        <v>9.3333333333333339</v>
      </c>
      <c r="M15" s="8">
        <v>147.30000000000001</v>
      </c>
    </row>
    <row r="16" spans="1:16" x14ac:dyDescent="0.25">
      <c r="A16" t="s">
        <v>436</v>
      </c>
      <c r="B16" t="s">
        <v>35</v>
      </c>
      <c r="C16" t="s">
        <v>137</v>
      </c>
      <c r="D16" t="s">
        <v>374</v>
      </c>
      <c r="E16" t="s">
        <v>384</v>
      </c>
      <c r="F16" t="s">
        <v>437</v>
      </c>
      <c r="G16" t="s">
        <v>374</v>
      </c>
      <c r="H16" t="s">
        <v>438</v>
      </c>
      <c r="I16" t="s">
        <v>439</v>
      </c>
      <c r="J16" t="s">
        <v>374</v>
      </c>
      <c r="K16" t="s">
        <v>440</v>
      </c>
      <c r="L16" s="8">
        <v>9.6666666666666661</v>
      </c>
      <c r="M16" s="8">
        <v>122.84</v>
      </c>
    </row>
    <row r="17" spans="1:13" x14ac:dyDescent="0.25">
      <c r="A17" t="s">
        <v>441</v>
      </c>
      <c r="B17" t="s">
        <v>42</v>
      </c>
      <c r="C17" t="s">
        <v>137</v>
      </c>
      <c r="D17" t="s">
        <v>374</v>
      </c>
      <c r="E17" t="s">
        <v>442</v>
      </c>
      <c r="F17" t="s">
        <v>148</v>
      </c>
      <c r="G17" t="s">
        <v>403</v>
      </c>
      <c r="H17" t="s">
        <v>443</v>
      </c>
      <c r="I17" t="s">
        <v>119</v>
      </c>
      <c r="J17" t="s">
        <v>374</v>
      </c>
      <c r="K17" t="s">
        <v>444</v>
      </c>
      <c r="L17" s="8">
        <v>9.6666666666666661</v>
      </c>
      <c r="M17" s="8">
        <v>267.85000000000002</v>
      </c>
    </row>
    <row r="18" spans="1:13" x14ac:dyDescent="0.25">
      <c r="A18" t="s">
        <v>445</v>
      </c>
      <c r="B18" t="s">
        <v>20</v>
      </c>
      <c r="C18" t="s">
        <v>137</v>
      </c>
      <c r="D18" t="s">
        <v>425</v>
      </c>
      <c r="E18" t="s">
        <v>446</v>
      </c>
      <c r="F18" t="s">
        <v>383</v>
      </c>
      <c r="G18" t="s">
        <v>379</v>
      </c>
      <c r="H18" t="s">
        <v>379</v>
      </c>
      <c r="I18" t="s">
        <v>119</v>
      </c>
      <c r="J18" t="s">
        <v>374</v>
      </c>
      <c r="K18" t="s">
        <v>447</v>
      </c>
      <c r="L18" s="8">
        <v>10</v>
      </c>
      <c r="M18" s="8">
        <v>98.82</v>
      </c>
    </row>
    <row r="19" spans="1:13" x14ac:dyDescent="0.25">
      <c r="A19" t="s">
        <v>448</v>
      </c>
      <c r="B19" t="s">
        <v>46</v>
      </c>
      <c r="C19" t="s">
        <v>137</v>
      </c>
      <c r="D19" t="s">
        <v>374</v>
      </c>
      <c r="E19" t="s">
        <v>449</v>
      </c>
      <c r="F19" t="s">
        <v>119</v>
      </c>
      <c r="G19" t="s">
        <v>374</v>
      </c>
      <c r="H19" t="s">
        <v>450</v>
      </c>
      <c r="I19" t="s">
        <v>119</v>
      </c>
      <c r="J19" t="s">
        <v>374</v>
      </c>
      <c r="K19" t="s">
        <v>451</v>
      </c>
      <c r="L19" s="8">
        <v>10</v>
      </c>
      <c r="M19" s="8">
        <v>151.70599999999999</v>
      </c>
    </row>
    <row r="20" spans="1:13" x14ac:dyDescent="0.25">
      <c r="A20" t="s">
        <v>452</v>
      </c>
      <c r="B20" t="s">
        <v>53</v>
      </c>
      <c r="C20" t="s">
        <v>137</v>
      </c>
      <c r="D20" t="s">
        <v>403</v>
      </c>
      <c r="E20" t="s">
        <v>391</v>
      </c>
      <c r="F20" t="s">
        <v>119</v>
      </c>
      <c r="G20" t="s">
        <v>403</v>
      </c>
      <c r="H20" t="s">
        <v>453</v>
      </c>
      <c r="I20" t="s">
        <v>119</v>
      </c>
      <c r="J20" t="s">
        <v>403</v>
      </c>
      <c r="K20" t="s">
        <v>454</v>
      </c>
      <c r="L20" s="8">
        <v>10</v>
      </c>
      <c r="M20" s="8">
        <v>222.17</v>
      </c>
    </row>
    <row r="21" spans="1:13" x14ac:dyDescent="0.25">
      <c r="A21" t="s">
        <v>455</v>
      </c>
      <c r="B21" t="s">
        <v>48</v>
      </c>
      <c r="C21" t="s">
        <v>137</v>
      </c>
      <c r="D21" t="s">
        <v>403</v>
      </c>
      <c r="E21" t="s">
        <v>433</v>
      </c>
      <c r="F21" t="s">
        <v>119</v>
      </c>
      <c r="G21" t="s">
        <v>374</v>
      </c>
      <c r="H21" t="s">
        <v>456</v>
      </c>
      <c r="I21" t="s">
        <v>120</v>
      </c>
      <c r="J21" t="s">
        <v>374</v>
      </c>
      <c r="K21" t="s">
        <v>457</v>
      </c>
      <c r="L21" s="8">
        <v>10.333333333333334</v>
      </c>
      <c r="M21" s="8">
        <v>180.21</v>
      </c>
    </row>
    <row r="22" spans="1:13" x14ac:dyDescent="0.25">
      <c r="A22" t="s">
        <v>459</v>
      </c>
      <c r="B22" t="s">
        <v>49</v>
      </c>
      <c r="C22" t="s">
        <v>137</v>
      </c>
      <c r="D22" t="s">
        <v>374</v>
      </c>
      <c r="E22" t="s">
        <v>460</v>
      </c>
      <c r="F22" t="s">
        <v>119</v>
      </c>
      <c r="G22" t="s">
        <v>374</v>
      </c>
      <c r="H22" t="s">
        <v>461</v>
      </c>
      <c r="I22" t="s">
        <v>120</v>
      </c>
      <c r="J22" t="s">
        <v>425</v>
      </c>
      <c r="K22" t="s">
        <v>462</v>
      </c>
      <c r="L22" s="8">
        <v>10.333333333333334</v>
      </c>
      <c r="M22" s="8">
        <v>181.04</v>
      </c>
    </row>
    <row r="23" spans="1:13" x14ac:dyDescent="0.25">
      <c r="A23" t="s">
        <v>463</v>
      </c>
      <c r="B23" t="s">
        <v>44</v>
      </c>
      <c r="C23" t="s">
        <v>138</v>
      </c>
      <c r="D23" t="s">
        <v>425</v>
      </c>
      <c r="E23" t="s">
        <v>464</v>
      </c>
      <c r="F23" t="s">
        <v>119</v>
      </c>
      <c r="G23" t="s">
        <v>374</v>
      </c>
      <c r="H23" t="s">
        <v>465</v>
      </c>
      <c r="I23" t="s">
        <v>466</v>
      </c>
      <c r="J23" t="s">
        <v>374</v>
      </c>
      <c r="K23" t="s">
        <v>467</v>
      </c>
      <c r="L23" s="8">
        <v>10.666666666666666</v>
      </c>
      <c r="M23" s="8">
        <v>169.68</v>
      </c>
    </row>
    <row r="24" spans="1:13" x14ac:dyDescent="0.25">
      <c r="A24" t="s">
        <v>468</v>
      </c>
      <c r="B24" t="s">
        <v>32</v>
      </c>
      <c r="C24" t="s">
        <v>138</v>
      </c>
      <c r="D24" t="s">
        <v>374</v>
      </c>
      <c r="E24" t="s">
        <v>469</v>
      </c>
      <c r="F24" t="s">
        <v>120</v>
      </c>
      <c r="G24" t="s">
        <v>374</v>
      </c>
      <c r="H24" t="s">
        <v>470</v>
      </c>
      <c r="I24" t="s">
        <v>120</v>
      </c>
      <c r="J24" t="s">
        <v>374</v>
      </c>
      <c r="K24" t="s">
        <v>471</v>
      </c>
      <c r="L24" s="8">
        <v>11</v>
      </c>
      <c r="M24" s="8">
        <v>171.91</v>
      </c>
    </row>
    <row r="25" spans="1:13" x14ac:dyDescent="0.25">
      <c r="A25" t="s">
        <v>191</v>
      </c>
      <c r="B25" t="s">
        <v>56</v>
      </c>
      <c r="C25" t="s">
        <v>139</v>
      </c>
      <c r="D25" t="s">
        <v>374</v>
      </c>
      <c r="E25" t="s">
        <v>472</v>
      </c>
      <c r="F25" t="s">
        <v>119</v>
      </c>
      <c r="G25" t="s">
        <v>374</v>
      </c>
      <c r="H25" t="s">
        <v>473</v>
      </c>
      <c r="I25" t="s">
        <v>120</v>
      </c>
      <c r="J25" t="s">
        <v>425</v>
      </c>
      <c r="K25" t="s">
        <v>474</v>
      </c>
      <c r="L25" s="8">
        <v>11</v>
      </c>
      <c r="M25" s="8">
        <v>157.4</v>
      </c>
    </row>
    <row r="26" spans="1:13" x14ac:dyDescent="0.25">
      <c r="A26" t="s">
        <v>475</v>
      </c>
      <c r="B26" t="s">
        <v>288</v>
      </c>
      <c r="C26" t="s">
        <v>139</v>
      </c>
      <c r="D26" t="s">
        <v>374</v>
      </c>
      <c r="E26" t="s">
        <v>476</v>
      </c>
      <c r="F26" t="s">
        <v>119</v>
      </c>
      <c r="G26" t="s">
        <v>403</v>
      </c>
      <c r="H26" t="s">
        <v>477</v>
      </c>
      <c r="I26" t="s">
        <v>379</v>
      </c>
      <c r="J26" t="s">
        <v>379</v>
      </c>
      <c r="K26" t="s">
        <v>379</v>
      </c>
      <c r="L26" s="8">
        <v>11</v>
      </c>
      <c r="M26" s="8">
        <v>208.64</v>
      </c>
    </row>
    <row r="27" spans="1:13" x14ac:dyDescent="0.25">
      <c r="A27" t="s">
        <v>478</v>
      </c>
      <c r="B27" t="s">
        <v>22</v>
      </c>
      <c r="C27" t="s">
        <v>138</v>
      </c>
      <c r="D27" t="s">
        <v>374</v>
      </c>
      <c r="E27" t="s">
        <v>479</v>
      </c>
      <c r="F27" t="s">
        <v>147</v>
      </c>
      <c r="G27" t="s">
        <v>374</v>
      </c>
      <c r="H27" t="s">
        <v>480</v>
      </c>
      <c r="I27" t="s">
        <v>147</v>
      </c>
      <c r="J27" t="s">
        <v>374</v>
      </c>
      <c r="K27" t="s">
        <v>481</v>
      </c>
      <c r="L27" s="8">
        <v>11.666666666666666</v>
      </c>
      <c r="M27" s="8">
        <v>238.84</v>
      </c>
    </row>
    <row r="28" spans="1:13" x14ac:dyDescent="0.25">
      <c r="A28" t="s">
        <v>482</v>
      </c>
      <c r="B28" t="s">
        <v>25</v>
      </c>
      <c r="C28" t="s">
        <v>137</v>
      </c>
      <c r="D28" t="s">
        <v>374</v>
      </c>
      <c r="E28" t="s">
        <v>483</v>
      </c>
      <c r="F28" t="s">
        <v>121</v>
      </c>
      <c r="G28" t="s">
        <v>374</v>
      </c>
      <c r="H28" t="s">
        <v>417</v>
      </c>
      <c r="I28" t="s">
        <v>147</v>
      </c>
      <c r="J28" t="s">
        <v>374</v>
      </c>
      <c r="K28" t="s">
        <v>484</v>
      </c>
      <c r="L28" s="8">
        <v>11.666666666666666</v>
      </c>
      <c r="M28" s="8">
        <v>244.79</v>
      </c>
    </row>
    <row r="29" spans="1:13" x14ac:dyDescent="0.25">
      <c r="A29" t="s">
        <v>485</v>
      </c>
      <c r="B29" t="s">
        <v>273</v>
      </c>
      <c r="C29" t="s">
        <v>139</v>
      </c>
      <c r="D29" t="s">
        <v>374</v>
      </c>
      <c r="E29" t="s">
        <v>486</v>
      </c>
      <c r="F29" t="s">
        <v>147</v>
      </c>
      <c r="G29" t="s">
        <v>374</v>
      </c>
      <c r="H29" t="s">
        <v>487</v>
      </c>
      <c r="I29" t="s">
        <v>147</v>
      </c>
      <c r="J29" t="s">
        <v>425</v>
      </c>
      <c r="K29" t="s">
        <v>488</v>
      </c>
      <c r="L29" s="8">
        <v>12</v>
      </c>
      <c r="M29" s="8">
        <v>199.02</v>
      </c>
    </row>
    <row r="30" spans="1:13" x14ac:dyDescent="0.25">
      <c r="A30" t="s">
        <v>489</v>
      </c>
      <c r="B30" t="s">
        <v>278</v>
      </c>
      <c r="C30" t="s">
        <v>139</v>
      </c>
      <c r="D30" t="s">
        <v>374</v>
      </c>
      <c r="E30" t="s">
        <v>490</v>
      </c>
      <c r="F30" t="s">
        <v>147</v>
      </c>
      <c r="G30" t="s">
        <v>374</v>
      </c>
      <c r="H30" t="s">
        <v>491</v>
      </c>
      <c r="I30" t="s">
        <v>147</v>
      </c>
      <c r="J30" t="s">
        <v>374</v>
      </c>
      <c r="K30" t="s">
        <v>492</v>
      </c>
      <c r="L30" s="8">
        <v>12</v>
      </c>
      <c r="M30" s="8">
        <v>171.52</v>
      </c>
    </row>
    <row r="31" spans="1:13" x14ac:dyDescent="0.25">
      <c r="A31" t="s">
        <v>493</v>
      </c>
      <c r="B31" t="s">
        <v>36</v>
      </c>
      <c r="C31" t="s">
        <v>139</v>
      </c>
      <c r="D31" t="s">
        <v>374</v>
      </c>
      <c r="E31" t="s">
        <v>494</v>
      </c>
      <c r="F31" t="s">
        <v>147</v>
      </c>
      <c r="G31" t="s">
        <v>374</v>
      </c>
      <c r="H31" t="s">
        <v>495</v>
      </c>
      <c r="I31" t="s">
        <v>147</v>
      </c>
      <c r="J31" t="s">
        <v>374</v>
      </c>
      <c r="K31" t="s">
        <v>496</v>
      </c>
      <c r="L31" s="8">
        <v>12</v>
      </c>
      <c r="M31" s="8">
        <v>263.85000000000002</v>
      </c>
    </row>
    <row r="32" spans="1:13" x14ac:dyDescent="0.25">
      <c r="A32" t="s">
        <v>497</v>
      </c>
      <c r="B32" t="s">
        <v>57</v>
      </c>
      <c r="C32" t="s">
        <v>139</v>
      </c>
      <c r="D32" t="s">
        <v>425</v>
      </c>
      <c r="E32" t="s">
        <v>498</v>
      </c>
      <c r="F32" t="s">
        <v>147</v>
      </c>
      <c r="G32" t="s">
        <v>425</v>
      </c>
      <c r="H32" t="s">
        <v>499</v>
      </c>
      <c r="I32" t="s">
        <v>147</v>
      </c>
      <c r="J32" t="s">
        <v>374</v>
      </c>
      <c r="K32" t="s">
        <v>500</v>
      </c>
      <c r="L32" s="8">
        <v>12</v>
      </c>
      <c r="M32" s="8">
        <v>259.82</v>
      </c>
    </row>
    <row r="33" spans="1:13" x14ac:dyDescent="0.25">
      <c r="A33" t="s">
        <v>501</v>
      </c>
      <c r="B33" t="s">
        <v>279</v>
      </c>
      <c r="C33" t="s">
        <v>502</v>
      </c>
      <c r="D33" t="s">
        <v>374</v>
      </c>
      <c r="E33" t="s">
        <v>503</v>
      </c>
      <c r="F33" t="s">
        <v>147</v>
      </c>
      <c r="G33" t="s">
        <v>374</v>
      </c>
      <c r="H33" t="s">
        <v>492</v>
      </c>
      <c r="I33" t="s">
        <v>147</v>
      </c>
      <c r="J33" t="s">
        <v>425</v>
      </c>
      <c r="K33" t="s">
        <v>504</v>
      </c>
      <c r="L33" s="8">
        <v>12</v>
      </c>
      <c r="M33" s="8">
        <v>122.84</v>
      </c>
    </row>
    <row r="34" spans="1:13" x14ac:dyDescent="0.25">
      <c r="A34" t="s">
        <v>505</v>
      </c>
      <c r="B34" t="s">
        <v>26</v>
      </c>
      <c r="C34" t="s">
        <v>139</v>
      </c>
      <c r="D34" t="s">
        <v>374</v>
      </c>
      <c r="E34" t="s">
        <v>506</v>
      </c>
      <c r="F34" t="s">
        <v>147</v>
      </c>
      <c r="G34" t="s">
        <v>374</v>
      </c>
      <c r="H34" t="s">
        <v>507</v>
      </c>
      <c r="I34" t="s">
        <v>121</v>
      </c>
      <c r="J34" t="s">
        <v>374</v>
      </c>
      <c r="K34" t="s">
        <v>508</v>
      </c>
      <c r="L34" s="8">
        <v>12.333333333333334</v>
      </c>
      <c r="M34" s="8">
        <v>222.76</v>
      </c>
    </row>
    <row r="35" spans="1:13" x14ac:dyDescent="0.25">
      <c r="A35" t="s">
        <v>509</v>
      </c>
      <c r="B35" t="s">
        <v>37</v>
      </c>
      <c r="C35" t="s">
        <v>140</v>
      </c>
      <c r="D35" t="s">
        <v>374</v>
      </c>
      <c r="E35" t="s">
        <v>510</v>
      </c>
      <c r="F35" t="s">
        <v>147</v>
      </c>
      <c r="G35" t="s">
        <v>374</v>
      </c>
      <c r="H35" t="s">
        <v>511</v>
      </c>
      <c r="I35" t="s">
        <v>121</v>
      </c>
      <c r="J35" t="s">
        <v>374</v>
      </c>
      <c r="K35" t="s">
        <v>512</v>
      </c>
      <c r="L35" s="8">
        <v>12.666666666666666</v>
      </c>
      <c r="M35" s="8">
        <v>171.21</v>
      </c>
    </row>
    <row r="36" spans="1:13" x14ac:dyDescent="0.25">
      <c r="A36" t="s">
        <v>513</v>
      </c>
      <c r="B36" t="s">
        <v>29</v>
      </c>
      <c r="C36" t="s">
        <v>140</v>
      </c>
      <c r="D36" t="s">
        <v>374</v>
      </c>
      <c r="E36" t="s">
        <v>514</v>
      </c>
      <c r="F36" t="s">
        <v>121</v>
      </c>
      <c r="G36" t="s">
        <v>425</v>
      </c>
      <c r="H36" t="s">
        <v>515</v>
      </c>
      <c r="I36" t="s">
        <v>121</v>
      </c>
      <c r="J36" t="s">
        <v>425</v>
      </c>
      <c r="K36" t="s">
        <v>516</v>
      </c>
      <c r="L36" s="8">
        <v>13</v>
      </c>
      <c r="M36" s="8">
        <v>177.80600000000001</v>
      </c>
    </row>
    <row r="37" spans="1:13" x14ac:dyDescent="0.25">
      <c r="A37" t="s">
        <v>517</v>
      </c>
      <c r="B37" t="s">
        <v>38</v>
      </c>
      <c r="C37" t="s">
        <v>140</v>
      </c>
      <c r="D37" t="s">
        <v>374</v>
      </c>
      <c r="E37" t="s">
        <v>518</v>
      </c>
      <c r="F37" t="s">
        <v>121</v>
      </c>
      <c r="G37" t="s">
        <v>374</v>
      </c>
      <c r="H37" t="s">
        <v>519</v>
      </c>
      <c r="I37" t="s">
        <v>121</v>
      </c>
      <c r="J37" t="s">
        <v>374</v>
      </c>
      <c r="K37" t="s">
        <v>520</v>
      </c>
      <c r="L37" s="8">
        <v>13</v>
      </c>
      <c r="M37" s="8">
        <v>247.16</v>
      </c>
    </row>
    <row r="38" spans="1:13" x14ac:dyDescent="0.25">
      <c r="A38" t="s">
        <v>521</v>
      </c>
      <c r="B38" t="s">
        <v>59</v>
      </c>
      <c r="C38" t="s">
        <v>140</v>
      </c>
      <c r="D38" t="s">
        <v>374</v>
      </c>
      <c r="E38" t="s">
        <v>522</v>
      </c>
      <c r="F38" t="s">
        <v>523</v>
      </c>
      <c r="G38" t="s">
        <v>374</v>
      </c>
      <c r="H38" t="s">
        <v>524</v>
      </c>
      <c r="I38" t="s">
        <v>121</v>
      </c>
      <c r="J38" t="s">
        <v>374</v>
      </c>
      <c r="K38" t="s">
        <v>525</v>
      </c>
      <c r="L38" s="8">
        <v>13</v>
      </c>
      <c r="M38" s="8">
        <v>286.27</v>
      </c>
    </row>
    <row r="39" spans="1:13" x14ac:dyDescent="0.25">
      <c r="A39" t="s">
        <v>526</v>
      </c>
      <c r="B39" t="s">
        <v>33</v>
      </c>
      <c r="C39" t="s">
        <v>130</v>
      </c>
      <c r="D39" t="s">
        <v>374</v>
      </c>
      <c r="E39" t="s">
        <v>527</v>
      </c>
      <c r="F39" t="s">
        <v>121</v>
      </c>
      <c r="G39" t="s">
        <v>374</v>
      </c>
      <c r="H39" t="s">
        <v>528</v>
      </c>
      <c r="I39" t="s">
        <v>379</v>
      </c>
      <c r="J39" t="s">
        <v>379</v>
      </c>
      <c r="K39" t="s">
        <v>379</v>
      </c>
      <c r="L39" s="8">
        <v>13.5</v>
      </c>
      <c r="M39" s="8">
        <v>191.36</v>
      </c>
    </row>
    <row r="40" spans="1:13" x14ac:dyDescent="0.25">
      <c r="A40" t="s">
        <v>529</v>
      </c>
      <c r="B40" t="s">
        <v>280</v>
      </c>
      <c r="C40" t="s">
        <v>130</v>
      </c>
      <c r="D40" t="s">
        <v>425</v>
      </c>
      <c r="E40" t="s">
        <v>530</v>
      </c>
      <c r="F40" t="s">
        <v>121</v>
      </c>
      <c r="G40" t="s">
        <v>374</v>
      </c>
      <c r="H40" t="s">
        <v>510</v>
      </c>
      <c r="I40" t="s">
        <v>122</v>
      </c>
      <c r="J40" t="s">
        <v>425</v>
      </c>
      <c r="K40" t="s">
        <v>516</v>
      </c>
      <c r="L40" s="8">
        <v>13.666666666666666</v>
      </c>
      <c r="M40" s="8">
        <v>300.42500000000001</v>
      </c>
    </row>
    <row r="41" spans="1:13" x14ac:dyDescent="0.25">
      <c r="A41" t="s">
        <v>531</v>
      </c>
      <c r="B41" t="s">
        <v>43</v>
      </c>
      <c r="C41" t="s">
        <v>130</v>
      </c>
      <c r="D41" t="s">
        <v>374</v>
      </c>
      <c r="E41" t="s">
        <v>532</v>
      </c>
      <c r="F41" t="s">
        <v>121</v>
      </c>
      <c r="G41" t="s">
        <v>374</v>
      </c>
      <c r="H41" t="s">
        <v>533</v>
      </c>
      <c r="I41" t="s">
        <v>122</v>
      </c>
      <c r="J41" t="s">
        <v>374</v>
      </c>
      <c r="K41" t="s">
        <v>534</v>
      </c>
      <c r="L41" s="8">
        <v>13.666666666666666</v>
      </c>
      <c r="M41" s="8">
        <v>186.48</v>
      </c>
    </row>
    <row r="42" spans="1:13" x14ac:dyDescent="0.25">
      <c r="A42" t="s">
        <v>535</v>
      </c>
      <c r="B42" t="s">
        <v>15</v>
      </c>
      <c r="C42" t="s">
        <v>536</v>
      </c>
      <c r="D42" t="s">
        <v>403</v>
      </c>
      <c r="E42" t="s">
        <v>537</v>
      </c>
      <c r="F42" t="s">
        <v>123</v>
      </c>
      <c r="G42" t="s">
        <v>374</v>
      </c>
      <c r="H42" t="s">
        <v>492</v>
      </c>
      <c r="I42" t="s">
        <v>123</v>
      </c>
      <c r="J42" t="s">
        <v>374</v>
      </c>
      <c r="K42" t="s">
        <v>538</v>
      </c>
      <c r="L42" s="8">
        <v>14</v>
      </c>
      <c r="M42" s="8">
        <v>312.97500000000002</v>
      </c>
    </row>
    <row r="43" spans="1:13" x14ac:dyDescent="0.25">
      <c r="A43" t="s">
        <v>539</v>
      </c>
      <c r="B43" t="s">
        <v>275</v>
      </c>
      <c r="C43" t="s">
        <v>141</v>
      </c>
      <c r="D43" t="s">
        <v>374</v>
      </c>
      <c r="E43" t="s">
        <v>540</v>
      </c>
      <c r="F43" t="s">
        <v>122</v>
      </c>
      <c r="G43" t="s">
        <v>374</v>
      </c>
      <c r="H43" t="s">
        <v>541</v>
      </c>
      <c r="I43" t="s">
        <v>122</v>
      </c>
      <c r="J43" t="s">
        <v>425</v>
      </c>
      <c r="K43" t="s">
        <v>542</v>
      </c>
      <c r="L43" s="8">
        <v>14.333333333333334</v>
      </c>
      <c r="M43" s="8">
        <v>250.417</v>
      </c>
    </row>
    <row r="44" spans="1:13" x14ac:dyDescent="0.25">
      <c r="A44" t="s">
        <v>543</v>
      </c>
      <c r="B44" t="s">
        <v>303</v>
      </c>
      <c r="C44" t="s">
        <v>141</v>
      </c>
      <c r="D44" t="s">
        <v>374</v>
      </c>
      <c r="E44" t="s">
        <v>404</v>
      </c>
      <c r="F44" t="s">
        <v>122</v>
      </c>
      <c r="G44" t="s">
        <v>374</v>
      </c>
      <c r="H44" t="s">
        <v>544</v>
      </c>
      <c r="I44" t="s">
        <v>122</v>
      </c>
      <c r="J44" t="s">
        <v>374</v>
      </c>
      <c r="K44" t="s">
        <v>545</v>
      </c>
      <c r="L44" s="8">
        <v>14.333333333333334</v>
      </c>
      <c r="M44" s="8">
        <v>243.10499999999999</v>
      </c>
    </row>
    <row r="45" spans="1:13" x14ac:dyDescent="0.25">
      <c r="A45" t="s">
        <v>546</v>
      </c>
      <c r="B45" t="s">
        <v>45</v>
      </c>
      <c r="C45" t="s">
        <v>142</v>
      </c>
      <c r="D45" t="s">
        <v>374</v>
      </c>
      <c r="E45" t="s">
        <v>479</v>
      </c>
      <c r="F45" t="s">
        <v>123</v>
      </c>
      <c r="G45" t="s">
        <v>374</v>
      </c>
      <c r="H45" t="s">
        <v>547</v>
      </c>
      <c r="I45" t="s">
        <v>123</v>
      </c>
      <c r="J45" t="s">
        <v>374</v>
      </c>
      <c r="K45" t="s">
        <v>434</v>
      </c>
      <c r="L45" s="8">
        <v>15.333333333333334</v>
      </c>
      <c r="M45" s="8">
        <v>328.14</v>
      </c>
    </row>
    <row r="46" spans="1:13" x14ac:dyDescent="0.25">
      <c r="A46" t="s">
        <v>548</v>
      </c>
      <c r="B46" t="s">
        <v>277</v>
      </c>
      <c r="C46" t="s">
        <v>141</v>
      </c>
      <c r="D46" t="s">
        <v>374</v>
      </c>
      <c r="E46" t="s">
        <v>549</v>
      </c>
      <c r="F46" t="s">
        <v>124</v>
      </c>
      <c r="G46" t="s">
        <v>425</v>
      </c>
      <c r="H46" t="s">
        <v>550</v>
      </c>
      <c r="I46" t="s">
        <v>383</v>
      </c>
      <c r="J46" t="s">
        <v>379</v>
      </c>
      <c r="K46" t="s">
        <v>379</v>
      </c>
      <c r="L46" s="8">
        <v>15.5</v>
      </c>
      <c r="M46" s="8">
        <v>169.471</v>
      </c>
    </row>
    <row r="47" spans="1:13" x14ac:dyDescent="0.25">
      <c r="A47" t="s">
        <v>551</v>
      </c>
      <c r="B47" t="s">
        <v>28</v>
      </c>
      <c r="C47" t="s">
        <v>143</v>
      </c>
      <c r="D47" t="s">
        <v>425</v>
      </c>
      <c r="E47" t="s">
        <v>552</v>
      </c>
      <c r="F47" t="s">
        <v>123</v>
      </c>
      <c r="G47" t="s">
        <v>374</v>
      </c>
      <c r="H47" t="s">
        <v>553</v>
      </c>
      <c r="I47" t="s">
        <v>123</v>
      </c>
      <c r="J47" t="s">
        <v>374</v>
      </c>
      <c r="K47" t="s">
        <v>524</v>
      </c>
      <c r="L47" s="8">
        <v>15.666666666666666</v>
      </c>
      <c r="M47" s="8">
        <v>407.46</v>
      </c>
    </row>
    <row r="48" spans="1:13" x14ac:dyDescent="0.25">
      <c r="A48" t="s">
        <v>554</v>
      </c>
      <c r="B48" t="s">
        <v>40</v>
      </c>
      <c r="C48" t="s">
        <v>555</v>
      </c>
      <c r="D48" t="s">
        <v>374</v>
      </c>
      <c r="E48" t="s">
        <v>556</v>
      </c>
      <c r="F48" t="s">
        <v>123</v>
      </c>
      <c r="G48" t="s">
        <v>374</v>
      </c>
      <c r="H48" t="s">
        <v>426</v>
      </c>
      <c r="I48" t="s">
        <v>124</v>
      </c>
      <c r="J48" t="s">
        <v>374</v>
      </c>
      <c r="K48" t="s">
        <v>557</v>
      </c>
      <c r="L48" s="8">
        <v>15.666666666666666</v>
      </c>
      <c r="M48" s="8">
        <v>433.92899999999997</v>
      </c>
    </row>
    <row r="49" spans="1:14" x14ac:dyDescent="0.25">
      <c r="A49" t="s">
        <v>558</v>
      </c>
      <c r="B49" t="s">
        <v>18</v>
      </c>
      <c r="C49" t="s">
        <v>142</v>
      </c>
      <c r="D49" t="s">
        <v>374</v>
      </c>
      <c r="E49" t="s">
        <v>433</v>
      </c>
      <c r="F49" t="s">
        <v>124</v>
      </c>
      <c r="G49" t="s">
        <v>374</v>
      </c>
      <c r="H49" t="s">
        <v>559</v>
      </c>
      <c r="I49" t="s">
        <v>124</v>
      </c>
      <c r="J49" t="s">
        <v>374</v>
      </c>
      <c r="K49" t="s">
        <v>560</v>
      </c>
      <c r="L49" s="8">
        <v>16</v>
      </c>
      <c r="M49" s="8">
        <v>484.13</v>
      </c>
    </row>
    <row r="50" spans="1:14" x14ac:dyDescent="0.25">
      <c r="A50" t="s">
        <v>561</v>
      </c>
      <c r="B50" t="s">
        <v>281</v>
      </c>
      <c r="C50" t="s">
        <v>562</v>
      </c>
      <c r="D50" t="s">
        <v>374</v>
      </c>
      <c r="E50" t="s">
        <v>563</v>
      </c>
      <c r="F50" t="s">
        <v>124</v>
      </c>
      <c r="G50" t="s">
        <v>374</v>
      </c>
      <c r="H50" t="s">
        <v>564</v>
      </c>
      <c r="I50" t="s">
        <v>123</v>
      </c>
      <c r="J50" t="s">
        <v>403</v>
      </c>
      <c r="K50" t="s">
        <v>565</v>
      </c>
      <c r="L50" s="8">
        <v>16</v>
      </c>
      <c r="M50" s="8">
        <v>509.43700000000001</v>
      </c>
    </row>
    <row r="51" spans="1:14" x14ac:dyDescent="0.25">
      <c r="A51" t="s">
        <v>566</v>
      </c>
      <c r="B51" t="s">
        <v>274</v>
      </c>
      <c r="C51" t="s">
        <v>142</v>
      </c>
      <c r="D51" t="s">
        <v>425</v>
      </c>
      <c r="E51" t="s">
        <v>567</v>
      </c>
      <c r="F51" t="s">
        <v>124</v>
      </c>
      <c r="G51" t="s">
        <v>374</v>
      </c>
      <c r="H51" t="s">
        <v>568</v>
      </c>
      <c r="I51" t="s">
        <v>124</v>
      </c>
      <c r="J51" t="s">
        <v>374</v>
      </c>
      <c r="K51" t="s">
        <v>569</v>
      </c>
      <c r="L51" s="8">
        <v>16</v>
      </c>
      <c r="M51" s="8">
        <v>362.82</v>
      </c>
    </row>
    <row r="52" spans="1:14" x14ac:dyDescent="0.25">
      <c r="A52" t="s">
        <v>570</v>
      </c>
      <c r="B52" t="s">
        <v>31</v>
      </c>
      <c r="C52" t="s">
        <v>143</v>
      </c>
      <c r="D52" t="s">
        <v>425</v>
      </c>
      <c r="E52" t="s">
        <v>525</v>
      </c>
      <c r="F52" t="s">
        <v>124</v>
      </c>
      <c r="G52" t="s">
        <v>374</v>
      </c>
      <c r="H52" t="s">
        <v>571</v>
      </c>
      <c r="I52" t="s">
        <v>123</v>
      </c>
      <c r="J52" t="s">
        <v>425</v>
      </c>
      <c r="K52" t="s">
        <v>572</v>
      </c>
      <c r="L52" s="8">
        <v>16</v>
      </c>
      <c r="M52" s="8">
        <v>253.79</v>
      </c>
    </row>
    <row r="53" spans="1:14" x14ac:dyDescent="0.25">
      <c r="A53" t="s">
        <v>573</v>
      </c>
      <c r="B53" t="s">
        <v>14</v>
      </c>
      <c r="C53" t="s">
        <v>143</v>
      </c>
      <c r="D53" t="s">
        <v>374</v>
      </c>
      <c r="E53" t="s">
        <v>574</v>
      </c>
      <c r="F53" t="s">
        <v>124</v>
      </c>
      <c r="G53" t="s">
        <v>374</v>
      </c>
      <c r="H53" t="s">
        <v>575</v>
      </c>
      <c r="I53" t="s">
        <v>576</v>
      </c>
      <c r="J53" t="s">
        <v>374</v>
      </c>
      <c r="K53" t="s">
        <v>577</v>
      </c>
      <c r="L53" s="8">
        <v>16.333333333333332</v>
      </c>
      <c r="M53" s="8">
        <v>444.72</v>
      </c>
    </row>
    <row r="54" spans="1:14" x14ac:dyDescent="0.25">
      <c r="A54" t="s">
        <v>578</v>
      </c>
      <c r="B54" t="s">
        <v>27</v>
      </c>
      <c r="C54" t="s">
        <v>143</v>
      </c>
      <c r="D54" t="s">
        <v>374</v>
      </c>
      <c r="E54" t="s">
        <v>579</v>
      </c>
      <c r="F54" t="s">
        <v>124</v>
      </c>
      <c r="G54" t="s">
        <v>374</v>
      </c>
      <c r="H54" t="s">
        <v>580</v>
      </c>
      <c r="I54" t="s">
        <v>124</v>
      </c>
      <c r="J54" t="s">
        <v>374</v>
      </c>
      <c r="K54" t="s">
        <v>581</v>
      </c>
      <c r="L54" s="8">
        <v>16.333333333333332</v>
      </c>
      <c r="M54" s="8">
        <v>450.97</v>
      </c>
    </row>
    <row r="55" spans="1:14" x14ac:dyDescent="0.25">
      <c r="A55" t="s">
        <v>582</v>
      </c>
      <c r="B55" t="s">
        <v>292</v>
      </c>
      <c r="C55" t="s">
        <v>143</v>
      </c>
      <c r="D55" t="s">
        <v>403</v>
      </c>
      <c r="E55" t="s">
        <v>583</v>
      </c>
      <c r="F55" t="s">
        <v>124</v>
      </c>
      <c r="G55" t="s">
        <v>403</v>
      </c>
      <c r="H55" t="s">
        <v>476</v>
      </c>
      <c r="I55" t="s">
        <v>124</v>
      </c>
      <c r="J55" t="s">
        <v>374</v>
      </c>
      <c r="K55" t="s">
        <v>584</v>
      </c>
      <c r="L55" s="8">
        <v>16.333333333333332</v>
      </c>
      <c r="M55" s="8">
        <v>222.97</v>
      </c>
    </row>
    <row r="56" spans="1:14" x14ac:dyDescent="0.25">
      <c r="A56" t="s">
        <v>585</v>
      </c>
      <c r="B56" t="s">
        <v>47</v>
      </c>
      <c r="C56" t="s">
        <v>143</v>
      </c>
      <c r="D56" t="s">
        <v>374</v>
      </c>
      <c r="E56" t="s">
        <v>586</v>
      </c>
      <c r="F56" t="s">
        <v>124</v>
      </c>
      <c r="G56" t="s">
        <v>374</v>
      </c>
      <c r="H56" t="s">
        <v>587</v>
      </c>
      <c r="I56" t="s">
        <v>124</v>
      </c>
      <c r="J56" t="s">
        <v>374</v>
      </c>
      <c r="K56" t="s">
        <v>588</v>
      </c>
      <c r="L56" s="8">
        <v>16.333333333333332</v>
      </c>
      <c r="M56" s="8">
        <v>371.99</v>
      </c>
    </row>
    <row r="57" spans="1:14" x14ac:dyDescent="0.25">
      <c r="A57" t="s">
        <v>589</v>
      </c>
      <c r="B57" t="s">
        <v>55</v>
      </c>
      <c r="C57" t="s">
        <v>143</v>
      </c>
      <c r="D57" t="s">
        <v>403</v>
      </c>
      <c r="E57" t="s">
        <v>553</v>
      </c>
      <c r="F57" t="s">
        <v>125</v>
      </c>
      <c r="G57" t="s">
        <v>403</v>
      </c>
      <c r="H57" t="s">
        <v>590</v>
      </c>
      <c r="I57" t="s">
        <v>379</v>
      </c>
      <c r="J57" t="s">
        <v>379</v>
      </c>
      <c r="K57" t="s">
        <v>379</v>
      </c>
      <c r="L57" s="8">
        <v>17</v>
      </c>
      <c r="M57" s="8">
        <v>1585.68</v>
      </c>
    </row>
    <row r="58" spans="1:14" x14ac:dyDescent="0.25">
      <c r="A58" t="s">
        <v>591</v>
      </c>
      <c r="B58" t="s">
        <v>58</v>
      </c>
      <c r="C58" t="s">
        <v>143</v>
      </c>
      <c r="D58" t="s">
        <v>374</v>
      </c>
      <c r="E58" t="s">
        <v>592</v>
      </c>
      <c r="F58" t="s">
        <v>125</v>
      </c>
      <c r="G58" t="s">
        <v>374</v>
      </c>
      <c r="H58" t="s">
        <v>404</v>
      </c>
      <c r="I58" t="s">
        <v>125</v>
      </c>
      <c r="J58" t="s">
        <v>379</v>
      </c>
      <c r="K58" t="s">
        <v>379</v>
      </c>
      <c r="L58" s="8">
        <v>17</v>
      </c>
      <c r="M58" s="8">
        <v>158.32</v>
      </c>
      <c r="N58" t="s">
        <v>458</v>
      </c>
    </row>
    <row r="59" spans="1:14" x14ac:dyDescent="0.25">
      <c r="A59" t="s">
        <v>593</v>
      </c>
      <c r="B59" t="s">
        <v>276</v>
      </c>
      <c r="C59" t="s">
        <v>143</v>
      </c>
      <c r="D59" t="s">
        <v>425</v>
      </c>
      <c r="E59" t="s">
        <v>594</v>
      </c>
      <c r="F59" t="s">
        <v>125</v>
      </c>
      <c r="G59" t="s">
        <v>374</v>
      </c>
      <c r="H59" t="s">
        <v>595</v>
      </c>
      <c r="I59" t="s">
        <v>378</v>
      </c>
      <c r="J59" t="s">
        <v>379</v>
      </c>
      <c r="K59" t="s">
        <v>379</v>
      </c>
      <c r="L59" s="8">
        <v>17</v>
      </c>
      <c r="M59" s="8">
        <v>289.221</v>
      </c>
      <c r="N59" t="s">
        <v>458</v>
      </c>
    </row>
    <row r="60" spans="1:14" x14ac:dyDescent="0.25">
      <c r="A60" t="s">
        <v>208</v>
      </c>
      <c r="B60" t="s">
        <v>63</v>
      </c>
      <c r="C60" t="s">
        <v>144</v>
      </c>
      <c r="D60" t="s">
        <v>425</v>
      </c>
      <c r="E60" t="s">
        <v>434</v>
      </c>
      <c r="F60" t="s">
        <v>125</v>
      </c>
      <c r="G60" t="s">
        <v>374</v>
      </c>
      <c r="H60" t="s">
        <v>492</v>
      </c>
      <c r="I60" t="s">
        <v>124</v>
      </c>
      <c r="J60" t="s">
        <v>374</v>
      </c>
      <c r="K60" t="s">
        <v>596</v>
      </c>
      <c r="L60" s="8">
        <v>17</v>
      </c>
      <c r="M60" s="8">
        <v>241.67</v>
      </c>
      <c r="N60" t="s">
        <v>458</v>
      </c>
    </row>
    <row r="61" spans="1:14" x14ac:dyDescent="0.25">
      <c r="A61" t="s">
        <v>597</v>
      </c>
      <c r="B61" t="s">
        <v>21</v>
      </c>
      <c r="C61" t="s">
        <v>145</v>
      </c>
      <c r="D61" t="s">
        <v>425</v>
      </c>
      <c r="E61" t="s">
        <v>598</v>
      </c>
      <c r="F61" t="s">
        <v>125</v>
      </c>
      <c r="G61" t="s">
        <v>374</v>
      </c>
      <c r="H61" t="s">
        <v>599</v>
      </c>
      <c r="I61" t="s">
        <v>149</v>
      </c>
      <c r="J61" t="s">
        <v>379</v>
      </c>
      <c r="K61" t="s">
        <v>379</v>
      </c>
      <c r="L61" s="8">
        <v>18</v>
      </c>
      <c r="M61" s="8">
        <v>444.24</v>
      </c>
      <c r="N61" t="s">
        <v>458</v>
      </c>
    </row>
    <row r="62" spans="1:14" x14ac:dyDescent="0.25">
      <c r="A62" t="s">
        <v>600</v>
      </c>
      <c r="B62" t="s">
        <v>301</v>
      </c>
      <c r="C62" t="s">
        <v>601</v>
      </c>
      <c r="D62" t="s">
        <v>374</v>
      </c>
      <c r="E62" t="s">
        <v>602</v>
      </c>
      <c r="F62" t="s">
        <v>125</v>
      </c>
      <c r="G62" t="s">
        <v>379</v>
      </c>
      <c r="H62" t="s">
        <v>379</v>
      </c>
      <c r="I62" t="s">
        <v>603</v>
      </c>
      <c r="J62" t="s">
        <v>379</v>
      </c>
      <c r="K62" t="s">
        <v>379</v>
      </c>
      <c r="L62" s="8">
        <v>18.333333333333332</v>
      </c>
      <c r="M62" s="8">
        <v>877.94</v>
      </c>
    </row>
    <row r="63" spans="1:14" x14ac:dyDescent="0.25">
      <c r="A63" t="s">
        <v>604</v>
      </c>
      <c r="B63" t="s">
        <v>60</v>
      </c>
      <c r="C63" t="s">
        <v>146</v>
      </c>
      <c r="D63" t="s">
        <v>374</v>
      </c>
      <c r="E63" t="s">
        <v>605</v>
      </c>
      <c r="F63" t="s">
        <v>125</v>
      </c>
      <c r="G63" t="s">
        <v>374</v>
      </c>
      <c r="H63" t="s">
        <v>606</v>
      </c>
      <c r="I63" t="s">
        <v>149</v>
      </c>
      <c r="J63" t="s">
        <v>379</v>
      </c>
      <c r="K63" t="s">
        <v>379</v>
      </c>
      <c r="L63" s="8">
        <v>18.333333333333332</v>
      </c>
      <c r="M63" s="8">
        <v>691.05</v>
      </c>
    </row>
    <row r="64" spans="1:14" x14ac:dyDescent="0.25">
      <c r="A64" t="s">
        <v>607</v>
      </c>
      <c r="B64" t="s">
        <v>30</v>
      </c>
      <c r="C64" t="s">
        <v>144</v>
      </c>
      <c r="D64" t="s">
        <v>403</v>
      </c>
      <c r="E64" t="s">
        <v>608</v>
      </c>
      <c r="F64" t="s">
        <v>383</v>
      </c>
      <c r="G64" t="s">
        <v>379</v>
      </c>
      <c r="H64" t="s">
        <v>379</v>
      </c>
      <c r="I64" t="s">
        <v>126</v>
      </c>
      <c r="J64" t="s">
        <v>379</v>
      </c>
      <c r="K64" t="s">
        <v>379</v>
      </c>
      <c r="L64" s="8">
        <v>18.666666666666668</v>
      </c>
      <c r="M64" s="8">
        <v>755.84</v>
      </c>
    </row>
    <row r="65" spans="1:13" x14ac:dyDescent="0.25">
      <c r="A65" t="s">
        <v>609</v>
      </c>
      <c r="B65" t="s">
        <v>282</v>
      </c>
      <c r="C65" t="s">
        <v>145</v>
      </c>
      <c r="D65" t="s">
        <v>374</v>
      </c>
      <c r="E65" t="s">
        <v>610</v>
      </c>
      <c r="F65" t="s">
        <v>376</v>
      </c>
      <c r="G65" t="s">
        <v>374</v>
      </c>
      <c r="H65" t="s">
        <v>429</v>
      </c>
      <c r="I65" t="s">
        <v>611</v>
      </c>
      <c r="J65" t="s">
        <v>379</v>
      </c>
      <c r="K65" t="s">
        <v>379</v>
      </c>
      <c r="L65" s="8">
        <v>20.333333333333332</v>
      </c>
      <c r="M65" s="8">
        <v>-356.07400000000001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2A7F16-1B1C-4070-B8F4-B711E3B1CA8E}">
  <dimension ref="A1:O66"/>
  <sheetViews>
    <sheetView zoomScaleNormal="100" workbookViewId="0">
      <selection activeCell="K13" sqref="K13"/>
    </sheetView>
  </sheetViews>
  <sheetFormatPr defaultRowHeight="15" x14ac:dyDescent="0.25"/>
  <cols>
    <col min="1" max="1" width="18.140625" bestFit="1" customWidth="1"/>
    <col min="2" max="2" width="17.28515625" bestFit="1" customWidth="1"/>
    <col min="3" max="3" width="12.7109375" bestFit="1" customWidth="1"/>
    <col min="4" max="4" width="6.5703125" style="3" bestFit="1" customWidth="1"/>
    <col min="5" max="5" width="7.140625" bestFit="1" customWidth="1"/>
    <col min="6" max="6" width="10.42578125" style="4" bestFit="1" customWidth="1"/>
    <col min="7" max="7" width="6.28515625" style="3" bestFit="1" customWidth="1"/>
    <col min="8" max="8" width="9" bestFit="1" customWidth="1"/>
    <col min="9" max="9" width="10.42578125" style="4" bestFit="1" customWidth="1"/>
    <col min="10" max="10" width="9" style="3" bestFit="1" customWidth="1"/>
    <col min="11" max="11" width="9" bestFit="1" customWidth="1"/>
    <col min="12" max="12" width="10.42578125" style="4" bestFit="1" customWidth="1"/>
    <col min="13" max="13" width="12.7109375" bestFit="1" customWidth="1"/>
    <col min="14" max="14" width="10" style="1" bestFit="1" customWidth="1"/>
    <col min="15" max="15" width="8.85546875" style="2" bestFit="1" customWidth="1"/>
    <col min="16" max="16" width="12.28515625" bestFit="1" customWidth="1"/>
  </cols>
  <sheetData>
    <row r="1" spans="1:15" s="5" customFormat="1" x14ac:dyDescent="0.25">
      <c r="D1" s="14" t="s">
        <v>7</v>
      </c>
      <c r="E1" s="15"/>
      <c r="F1" s="16"/>
      <c r="G1" s="14" t="s">
        <v>8</v>
      </c>
      <c r="H1" s="15"/>
      <c r="I1" s="16"/>
      <c r="J1" s="14" t="s">
        <v>12</v>
      </c>
      <c r="K1" s="15"/>
      <c r="L1" s="16"/>
      <c r="N1" s="6"/>
      <c r="O1" s="7"/>
    </row>
    <row r="2" spans="1:15" x14ac:dyDescent="0.25">
      <c r="B2" t="s">
        <v>16</v>
      </c>
      <c r="C2" t="s">
        <v>613</v>
      </c>
      <c r="D2" s="3" t="s">
        <v>0</v>
      </c>
      <c r="E2" t="s">
        <v>1</v>
      </c>
      <c r="F2" s="4" t="s">
        <v>2</v>
      </c>
      <c r="G2" s="3" t="s">
        <v>3</v>
      </c>
      <c r="H2" t="s">
        <v>4</v>
      </c>
      <c r="I2" s="4" t="s">
        <v>5</v>
      </c>
      <c r="J2" s="3" t="s">
        <v>9</v>
      </c>
      <c r="K2" t="s">
        <v>10</v>
      </c>
      <c r="L2" s="4" t="s">
        <v>11</v>
      </c>
    </row>
    <row r="3" spans="1:15" x14ac:dyDescent="0.25">
      <c r="A3" t="s">
        <v>87</v>
      </c>
      <c r="B3" t="str">
        <f>_xll.BDP($A3,B$2)</f>
        <v>LEBANON</v>
      </c>
      <c r="C3" t="s">
        <v>41</v>
      </c>
      <c r="D3" t="str">
        <f>_xll.BDP($A3,D$2)</f>
        <v>C</v>
      </c>
      <c r="E3" t="str">
        <f>_xll.BDP($A3,E$2)</f>
        <v>STABLE</v>
      </c>
      <c r="F3" t="str">
        <f>_xll.BDP($A3,F$2)</f>
        <v>12/13/2023</v>
      </c>
      <c r="G3" t="str">
        <f>_xll.BDP($A3,G$2)</f>
        <v>SD</v>
      </c>
      <c r="H3" t="str">
        <f>_xll.BDP($A3,H$2)</f>
        <v>STABLE</v>
      </c>
      <c r="I3" t="str">
        <f>_xll.BDP($A3,I$2)</f>
        <v>2/13/2026</v>
      </c>
      <c r="J3" t="str">
        <f>_xll.BDP($A3,J$2)</f>
        <v>WD</v>
      </c>
      <c r="K3" t="str">
        <f>_xll.BDP($A3,K$2)</f>
        <v>#N/A N/A</v>
      </c>
      <c r="L3" t="str">
        <f>_xll.BDP($A3,L$2)</f>
        <v>#N/A N/A</v>
      </c>
    </row>
    <row r="4" spans="1:15" x14ac:dyDescent="0.25">
      <c r="A4" t="s">
        <v>110</v>
      </c>
      <c r="B4" t="str">
        <f>_xll.BDP($A4,B$2)</f>
        <v>VENEZUELA</v>
      </c>
      <c r="C4" t="s">
        <v>62</v>
      </c>
      <c r="D4" t="str">
        <f>_xll.BDP($A4,D$2)</f>
        <v>WR</v>
      </c>
      <c r="E4" t="str">
        <f>_xll.BDP($A4,E$2)</f>
        <v>STABLE</v>
      </c>
      <c r="F4" t="str">
        <f>_xll.BDP($A4,F$2)</f>
        <v>3/9/2018</v>
      </c>
      <c r="G4" t="str">
        <f>_xll.BDP($A4,G$2)</f>
        <v>NR</v>
      </c>
      <c r="H4" t="str">
        <f>_xll.BDP($A4,H$2)</f>
        <v>#N/A N/A</v>
      </c>
      <c r="I4" t="str">
        <f>_xll.BDP($A4,I$2)</f>
        <v>#N/A N/A</v>
      </c>
      <c r="J4" t="str">
        <f>_xll.BDP($A4,J$2)</f>
        <v>WD</v>
      </c>
      <c r="K4" t="str">
        <f>_xll.BDP($A4,K$2)</f>
        <v>#N/A N/A</v>
      </c>
      <c r="L4" t="str">
        <f>_xll.BDP($A4,L$2)</f>
        <v>#N/A N/A</v>
      </c>
    </row>
    <row r="5" spans="1:15" x14ac:dyDescent="0.25">
      <c r="A5" t="s">
        <v>293</v>
      </c>
      <c r="B5" t="str">
        <f>_xll.BDP($A5,B$2)</f>
        <v>UAE</v>
      </c>
      <c r="C5" t="s">
        <v>181</v>
      </c>
      <c r="D5" s="3" t="str">
        <f>_xll.BDP($A5,D$2)</f>
        <v>Aa2</v>
      </c>
      <c r="E5" t="str">
        <f>_xll.BDP($A5,E$2)</f>
        <v>STABLE</v>
      </c>
      <c r="F5" s="4" t="str">
        <f>_xll.BDP($A5,F$2)</f>
        <v>10/5/2021</v>
      </c>
      <c r="G5" s="3" t="str">
        <f>_xll.BDP($A5,G$2)</f>
        <v>AA</v>
      </c>
      <c r="H5" t="str">
        <f>_xll.BDP($A5,H$2)</f>
        <v>STABLE</v>
      </c>
      <c r="I5" s="4" t="str">
        <f>_xll.BDP($A5,I$2)</f>
        <v>6/17/2025</v>
      </c>
      <c r="J5" s="3" t="str">
        <f>_xll.BDP($A5,J$2)</f>
        <v>AA-</v>
      </c>
      <c r="K5" t="str">
        <f>_xll.BDP($A5,K$2)</f>
        <v>STABLE</v>
      </c>
      <c r="L5" s="4" t="str">
        <f>_xll.BDP($A5,L$2)</f>
        <v>9/30/2021</v>
      </c>
    </row>
    <row r="6" spans="1:15" x14ac:dyDescent="0.25">
      <c r="A6" t="s">
        <v>102</v>
      </c>
      <c r="B6" t="str">
        <f>_xll.BDP($A6,B$2)</f>
        <v>SAUDI ARABIA</v>
      </c>
      <c r="C6" t="s">
        <v>54</v>
      </c>
      <c r="D6" s="3" t="str">
        <f>_xll.BDP($A6,D$2)</f>
        <v>Aa3</v>
      </c>
      <c r="E6" t="str">
        <f>_xll.BDP($A6,E$2)</f>
        <v>STABLE</v>
      </c>
      <c r="F6" s="4" t="str">
        <f>_xll.BDP($A6,F$2)</f>
        <v>11/22/2024</v>
      </c>
      <c r="G6" s="3" t="str">
        <f>_xll.BDP($A6,G$2)</f>
        <v>A+u</v>
      </c>
      <c r="H6" t="str">
        <f>_xll.BDP($A6,H$2)</f>
        <v>STABLE</v>
      </c>
      <c r="I6" s="4" t="str">
        <f>_xll.BDP($A6,I$2)</f>
        <v>3/14/2025</v>
      </c>
      <c r="J6" s="3" t="str">
        <f>_xll.BDP($A6,J$2)</f>
        <v>A+</v>
      </c>
      <c r="K6" t="str">
        <f>_xll.BDP($A6,K$2)</f>
        <v>STABLE</v>
      </c>
      <c r="L6" s="4" t="str">
        <f>_xll.BDP($A6,L$2)</f>
        <v>4/5/2023</v>
      </c>
    </row>
    <row r="7" spans="1:15" x14ac:dyDescent="0.25">
      <c r="A7" t="s">
        <v>68</v>
      </c>
      <c r="B7" t="str">
        <f>_xll.BDP($A7,B$2)</f>
        <v>CHINA</v>
      </c>
      <c r="C7" t="s">
        <v>24</v>
      </c>
      <c r="D7" s="3" t="str">
        <f>_xll.BDP($A7,D$2)</f>
        <v>A1</v>
      </c>
      <c r="E7" t="str">
        <f>_xll.BDP($A7,E$2)</f>
        <v>STABLE</v>
      </c>
      <c r="F7" s="4" t="str">
        <f>_xll.BDP($A7,F$2)</f>
        <v>4/27/2026</v>
      </c>
      <c r="G7" s="3" t="str">
        <f>_xll.BDP($A7,G$2)</f>
        <v>A+u</v>
      </c>
      <c r="H7" t="str">
        <f>_xll.BDP($A7,H$2)</f>
        <v>STABLE</v>
      </c>
      <c r="I7" s="4" t="str">
        <f>_xll.BDP($A7,I$2)</f>
        <v>9/21/2018</v>
      </c>
      <c r="J7" s="3" t="str">
        <f>_xll.BDP($A7,J$2)</f>
        <v>Au</v>
      </c>
      <c r="K7" t="str">
        <f>_xll.BDP($A7,K$2)</f>
        <v>STABLE</v>
      </c>
      <c r="L7" s="4" t="str">
        <f>_xll.BDP($A7,L$2)</f>
        <v>4/3/2025</v>
      </c>
    </row>
    <row r="8" spans="1:15" x14ac:dyDescent="0.25">
      <c r="A8" t="s">
        <v>67</v>
      </c>
      <c r="B8" t="str">
        <f>_xll.BDP($A8,B$2)</f>
        <v>CHILE</v>
      </c>
      <c r="C8" t="s">
        <v>23</v>
      </c>
      <c r="D8" s="3" t="str">
        <f>_xll.BDP($A8,D$2)</f>
        <v>A2</v>
      </c>
      <c r="E8" t="str">
        <f>_xll.BDP($A8,E$2)</f>
        <v>STABLE</v>
      </c>
      <c r="F8" s="4" t="str">
        <f>_xll.BDP($A8,F$2)</f>
        <v>9/15/2022</v>
      </c>
      <c r="G8" s="3" t="str">
        <f>_xll.BDP($A8,G$2)</f>
        <v>A</v>
      </c>
      <c r="H8" t="str">
        <f>_xll.BDP($A8,H$2)</f>
        <v>STABLE</v>
      </c>
      <c r="I8" s="4" t="str">
        <f>_xll.BDP($A8,I$2)</f>
        <v>10/15/2024</v>
      </c>
      <c r="J8" s="3" t="str">
        <f>_xll.BDP($A8,J$2)</f>
        <v>A-</v>
      </c>
      <c r="K8" t="str">
        <f>_xll.BDP($A8,K$2)</f>
        <v>STABLE</v>
      </c>
      <c r="L8" s="4" t="str">
        <f>_xll.BDP($A8,L$2)</f>
        <v>10/15/2020</v>
      </c>
    </row>
    <row r="9" spans="1:15" x14ac:dyDescent="0.25">
      <c r="A9" t="s">
        <v>100</v>
      </c>
      <c r="B9" t="str">
        <f>_xll.BDP($A9,B$2)</f>
        <v>POLAND</v>
      </c>
      <c r="C9" t="s">
        <v>52</v>
      </c>
      <c r="D9" s="3" t="str">
        <f>_xll.BDP($A9,D$2)</f>
        <v>A2</v>
      </c>
      <c r="E9" t="str">
        <f>_xll.BDP($A9,E$2)</f>
        <v>NEG</v>
      </c>
      <c r="F9" s="4" t="str">
        <f>_xll.BDP($A9,F$2)</f>
        <v>9/19/2025</v>
      </c>
      <c r="G9" s="3" t="str">
        <f>_xll.BDP($A9,G$2)</f>
        <v>A-</v>
      </c>
      <c r="H9" t="str">
        <f>_xll.BDP($A9,H$2)</f>
        <v>STABLE</v>
      </c>
      <c r="I9" s="4" t="str">
        <f>_xll.BDP($A9,I$2)</f>
        <v>10/12/2018</v>
      </c>
      <c r="J9" s="3" t="str">
        <f>_xll.BDP($A9,J$2)</f>
        <v>A-</v>
      </c>
      <c r="K9" t="str">
        <f>_xll.BDP($A9,K$2)</f>
        <v>NEG</v>
      </c>
      <c r="L9" s="4" t="str">
        <f>_xll.BDP($A9,L$2)</f>
        <v>9/5/2025</v>
      </c>
    </row>
    <row r="10" spans="1:15" x14ac:dyDescent="0.25">
      <c r="A10" t="s">
        <v>88</v>
      </c>
      <c r="B10" t="str">
        <f>_xll.BDP($A10,B$2)</f>
        <v>MALAYSIA</v>
      </c>
      <c r="C10" t="s">
        <v>90</v>
      </c>
      <c r="D10" s="3" t="str">
        <f>_xll.BDP($A10,D$2)</f>
        <v>A3</v>
      </c>
      <c r="E10" t="str">
        <f>_xll.BDP($A10,E$2)</f>
        <v>STABLE</v>
      </c>
      <c r="F10" s="4" t="str">
        <f>_xll.BDP($A10,F$2)</f>
        <v>1/11/2016</v>
      </c>
      <c r="G10" s="3" t="str">
        <f>_xll.BDP($A10,G$2)</f>
        <v>A-</v>
      </c>
      <c r="H10" t="str">
        <f>_xll.BDP($A10,H$2)</f>
        <v>STABLE</v>
      </c>
      <c r="I10" s="4" t="str">
        <f>_xll.BDP($A10,I$2)</f>
        <v>6/27/2022</v>
      </c>
      <c r="J10" s="3" t="str">
        <f>_xll.BDP($A10,J$2)</f>
        <v>BBB+</v>
      </c>
      <c r="K10" t="str">
        <f>_xll.BDP($A10,K$2)</f>
        <v>STABLE</v>
      </c>
      <c r="L10" s="4" t="str">
        <f>_xll.BDP($A10,L$2)</f>
        <v>12/4/2020</v>
      </c>
    </row>
    <row r="11" spans="1:15" x14ac:dyDescent="0.25">
      <c r="A11" t="s">
        <v>109</v>
      </c>
      <c r="B11" t="str">
        <f>_xll.BDP($A11,B$2)</f>
        <v>URUGUAY</v>
      </c>
      <c r="C11" t="s">
        <v>61</v>
      </c>
      <c r="D11" s="3" t="str">
        <f>_xll.BDP($A11,D$2)</f>
        <v>Baa1</v>
      </c>
      <c r="E11" t="str">
        <f>_xll.BDP($A11,E$2)</f>
        <v>STABLE</v>
      </c>
      <c r="F11" s="4" t="str">
        <f>_xll.BDP($A11,F$2)</f>
        <v>3/15/2024</v>
      </c>
      <c r="G11" s="3" t="str">
        <f>_xll.BDP($A11,G$2)</f>
        <v>BBB+</v>
      </c>
      <c r="H11" t="str">
        <f>_xll.BDP($A11,H$2)</f>
        <v>STABLE</v>
      </c>
      <c r="I11" s="4" t="str">
        <f>_xll.BDP($A11,I$2)</f>
        <v>4/26/2023</v>
      </c>
      <c r="J11" s="3" t="str">
        <f>_xll.BDP($A11,J$2)</f>
        <v>BBB</v>
      </c>
      <c r="K11" t="str">
        <f>_xll.BDP($A11,K$2)</f>
        <v>STABLE</v>
      </c>
      <c r="L11" s="4" t="str">
        <f>_xll.BDP($A11,L$2)</f>
        <v>6/7/2023</v>
      </c>
    </row>
    <row r="12" spans="1:15" x14ac:dyDescent="0.25">
      <c r="A12" t="s">
        <v>99</v>
      </c>
      <c r="B12" t="str">
        <f>_xll.BDP($A12,B$2)</f>
        <v>PHILIPPINES</v>
      </c>
      <c r="C12" t="s">
        <v>51</v>
      </c>
      <c r="D12" s="3" t="str">
        <f>_xll.BDP($A12,D$2)</f>
        <v>Baa2</v>
      </c>
      <c r="E12" t="str">
        <f>_xll.BDP($A12,E$2)</f>
        <v>STABLE</v>
      </c>
      <c r="F12" s="4" t="str">
        <f>_xll.BDP($A12,F$2)</f>
        <v>8/23/2024</v>
      </c>
      <c r="G12" s="3" t="str">
        <f>_xll.BDP($A12,G$2)</f>
        <v>BBB+</v>
      </c>
      <c r="H12" t="str">
        <f>_xll.BDP($A12,H$2)</f>
        <v>STABLE</v>
      </c>
      <c r="I12" s="4" t="str">
        <f>_xll.BDP($A12,I$2)</f>
        <v>4/8/2026</v>
      </c>
      <c r="J12" s="3" t="str">
        <f>_xll.BDP($A12,J$2)</f>
        <v>BBB</v>
      </c>
      <c r="K12" t="str">
        <f>_xll.BDP($A12,K$2)</f>
        <v>NEG</v>
      </c>
      <c r="L12" s="4" t="str">
        <f>_xll.BDP($A12,L$2)</f>
        <v>4/20/2026</v>
      </c>
    </row>
    <row r="13" spans="1:15" x14ac:dyDescent="0.25">
      <c r="A13" t="s">
        <v>81</v>
      </c>
      <c r="B13" t="str">
        <f>_xll.BDP($A13,B$2)</f>
        <v>INDONESIA</v>
      </c>
      <c r="C13" t="s">
        <v>304</v>
      </c>
      <c r="D13" s="3" t="str">
        <f>_xll.BDP($A13,D$2)</f>
        <v>Baa2</v>
      </c>
      <c r="E13" t="str">
        <f>_xll.BDP($A13,E$2)</f>
        <v>NEG</v>
      </c>
      <c r="F13" s="4" t="str">
        <f>_xll.BDP($A13,F$2)</f>
        <v>2/5/2026</v>
      </c>
      <c r="G13" s="3" t="str">
        <f>_xll.BDP($A13,G$2)</f>
        <v>BBB</v>
      </c>
      <c r="H13" t="str">
        <f>_xll.BDP($A13,H$2)</f>
        <v>STABLE</v>
      </c>
      <c r="I13" s="4" t="str">
        <f>_xll.BDP($A13,I$2)</f>
        <v>4/27/2022</v>
      </c>
      <c r="J13" s="3" t="str">
        <f>_xll.BDP($A13,J$2)</f>
        <v>BBB</v>
      </c>
      <c r="K13" t="str">
        <f>_xll.BDP($A13,K$2)</f>
        <v>NEG</v>
      </c>
      <c r="L13" s="4" t="str">
        <f>_xll.BDP($A13,L$2)</f>
        <v>3/4/2026</v>
      </c>
    </row>
    <row r="14" spans="1:15" x14ac:dyDescent="0.25">
      <c r="A14" t="s">
        <v>85</v>
      </c>
      <c r="B14" t="str">
        <f>_xll.BDP($A14,B$2)</f>
        <v>KAZAKHSTAN</v>
      </c>
      <c r="C14" t="s">
        <v>39</v>
      </c>
      <c r="D14" s="3" t="str">
        <f>_xll.BDP($A14,D$2)</f>
        <v>Baa1</v>
      </c>
      <c r="E14" t="str">
        <f>_xll.BDP($A14,E$2)</f>
        <v>STABLE</v>
      </c>
      <c r="F14" s="4" t="str">
        <f>_xll.BDP($A14,F$2)</f>
        <v>9/9/2024</v>
      </c>
      <c r="G14" s="3" t="str">
        <f>_xll.BDP($A14,G$2)</f>
        <v>BBB-</v>
      </c>
      <c r="H14" t="str">
        <f>_xll.BDP($A14,H$2)</f>
        <v>POS</v>
      </c>
      <c r="I14" s="4" t="str">
        <f>_xll.BDP($A14,I$2)</f>
        <v>8/22/2025</v>
      </c>
      <c r="J14" s="3" t="str">
        <f>_xll.BDP($A14,J$2)</f>
        <v>BBB</v>
      </c>
      <c r="K14" t="str">
        <f>_xll.BDP($A14,K$2)</f>
        <v>STABLE</v>
      </c>
      <c r="L14" s="4" t="str">
        <f>_xll.BDP($A14,L$2)</f>
        <v>4/29/2016</v>
      </c>
    </row>
    <row r="15" spans="1:15" x14ac:dyDescent="0.25">
      <c r="A15" t="s">
        <v>98</v>
      </c>
      <c r="B15" t="str">
        <f>_xll.BDP($A15,B$2)</f>
        <v>PERU</v>
      </c>
      <c r="C15" t="s">
        <v>50</v>
      </c>
      <c r="D15" s="3" t="str">
        <f>_xll.BDP($A15,D$2)</f>
        <v>Baa1</v>
      </c>
      <c r="E15" t="str">
        <f>_xll.BDP($A15,E$2)</f>
        <v>STABLE</v>
      </c>
      <c r="F15" s="4" t="str">
        <f>_xll.BDP($A15,F$2)</f>
        <v>9/20/2024</v>
      </c>
      <c r="G15" s="3" t="str">
        <f>_xll.BDP($A15,G$2)</f>
        <v>BBB-</v>
      </c>
      <c r="H15" t="str">
        <f>_xll.BDP($A15,H$2)</f>
        <v>STABLE</v>
      </c>
      <c r="I15" s="4" t="str">
        <f>_xll.BDP($A15,I$2)</f>
        <v>4/25/2024</v>
      </c>
      <c r="J15" s="3" t="str">
        <f>_xll.BDP($A15,J$2)</f>
        <v>BBB</v>
      </c>
      <c r="K15" t="str">
        <f>_xll.BDP($A15,K$2)</f>
        <v>STABLE</v>
      </c>
      <c r="L15" s="4" t="str">
        <f>_xll.BDP($A15,L$2)</f>
        <v>11/5/2024</v>
      </c>
    </row>
    <row r="16" spans="1:15" x14ac:dyDescent="0.25">
      <c r="A16" t="s">
        <v>79</v>
      </c>
      <c r="B16" t="str">
        <f>_xll.BDP($A16,B$2)</f>
        <v>HUNGARY</v>
      </c>
      <c r="C16" t="s">
        <v>34</v>
      </c>
      <c r="D16" s="3" t="str">
        <f>_xll.BDP($A16,D$2)</f>
        <v>Baa2</v>
      </c>
      <c r="E16" t="str">
        <f>_xll.BDP($A16,E$2)</f>
        <v>NEG</v>
      </c>
      <c r="F16" s="4" t="str">
        <f>_xll.BDP($A16,F$2)</f>
        <v>11/29/2024</v>
      </c>
      <c r="G16" s="3" t="str">
        <f>_xll.BDP($A16,G$2)</f>
        <v>BBB-</v>
      </c>
      <c r="H16" t="str">
        <f>_xll.BDP($A16,H$2)</f>
        <v>NEG</v>
      </c>
      <c r="I16" s="4" t="str">
        <f>_xll.BDP($A16,I$2)</f>
        <v>4/11/2025</v>
      </c>
      <c r="J16" s="3" t="str">
        <f>_xll.BDP($A16,J$2)</f>
        <v>BBB</v>
      </c>
      <c r="K16" t="str">
        <f>_xll.BDP($A16,K$2)</f>
        <v>NEG</v>
      </c>
      <c r="L16" s="4" t="str">
        <f>_xll.BDP($A16,L$2)</f>
        <v>12/5/2025</v>
      </c>
    </row>
    <row r="17" spans="1:12" x14ac:dyDescent="0.25">
      <c r="A17" t="s">
        <v>80</v>
      </c>
      <c r="B17" t="str">
        <f>_xll.BDP($A17,B$2)</f>
        <v>INDIA</v>
      </c>
      <c r="C17" t="s">
        <v>35</v>
      </c>
      <c r="D17" s="3" t="str">
        <f>_xll.BDP($A17,D$2)</f>
        <v>Baa3</v>
      </c>
      <c r="E17" t="str">
        <f>_xll.BDP($A17,E$2)</f>
        <v>STABLE</v>
      </c>
      <c r="F17" s="4" t="str">
        <f>_xll.BDP($A17,F$2)</f>
        <v>10/5/2021</v>
      </c>
      <c r="G17" s="3" t="str">
        <f>_xll.BDP($A17,G$2)</f>
        <v>BBBu</v>
      </c>
      <c r="H17" t="str">
        <f>_xll.BDP($A17,H$2)</f>
        <v>STABLE</v>
      </c>
      <c r="I17" s="4" t="str">
        <f>_xll.BDP($A17,I$2)</f>
        <v>8/14/2025</v>
      </c>
      <c r="J17" s="3" t="str">
        <f>_xll.BDP($A17,J$2)</f>
        <v>BBB-u</v>
      </c>
      <c r="K17" t="str">
        <f>_xll.BDP($A17,K$2)</f>
        <v>STABLE</v>
      </c>
      <c r="L17" s="4" t="str">
        <f>_xll.BDP($A17,L$2)</f>
        <v>6/10/2022</v>
      </c>
    </row>
    <row r="18" spans="1:12" x14ac:dyDescent="0.25">
      <c r="A18" t="s">
        <v>89</v>
      </c>
      <c r="B18" t="str">
        <f>_xll.BDP($A18,B$2)</f>
        <v>MEXICO</v>
      </c>
      <c r="C18" t="s">
        <v>42</v>
      </c>
      <c r="D18" s="3" t="str">
        <f>_xll.BDP($A18,D$2)</f>
        <v>Baa3</v>
      </c>
      <c r="E18" t="str">
        <f>_xll.BDP($A18,E$2)</f>
        <v>STABLE</v>
      </c>
      <c r="F18" s="4" t="str">
        <f>_xll.BDP($A18,F$2)</f>
        <v>6/11/2026</v>
      </c>
      <c r="G18" s="3" t="str">
        <f>_xll.BDP($A18,G$2)</f>
        <v>BBB</v>
      </c>
      <c r="H18" t="str">
        <f>_xll.BDP($A18,H$2)</f>
        <v>NEG</v>
      </c>
      <c r="I18" s="4" t="str">
        <f>_xll.BDP($A18,I$2)</f>
        <v>5/12/2026</v>
      </c>
      <c r="J18" s="3" t="str">
        <f>_xll.BDP($A18,J$2)</f>
        <v>BBB-</v>
      </c>
      <c r="K18" t="str">
        <f>_xll.BDP($A18,K$2)</f>
        <v>STABLE</v>
      </c>
      <c r="L18" s="4" t="str">
        <f>_xll.BDP($A18,L$2)</f>
        <v>4/15/2020</v>
      </c>
    </row>
    <row r="19" spans="1:12" x14ac:dyDescent="0.25">
      <c r="A19" t="s">
        <v>19</v>
      </c>
      <c r="B19" t="str">
        <f>_xll.BDP($A19,B$2)</f>
        <v>AZERBAIJAN</v>
      </c>
      <c r="C19" t="s">
        <v>20</v>
      </c>
      <c r="D19" s="3" t="str">
        <f>_xll.BDP($A19,D$2)</f>
        <v>Baa3</v>
      </c>
      <c r="E19" t="str">
        <f>_xll.BDP($A19,E$2)</f>
        <v>POS</v>
      </c>
      <c r="F19" s="4" t="str">
        <f>_xll.BDP($A19,F$2)</f>
        <v>7/4/2025</v>
      </c>
      <c r="G19" s="3" t="str">
        <f>_xll.BDP($A19,G$2)</f>
        <v>NR</v>
      </c>
      <c r="H19" t="str">
        <f>_xll.BDP($A19,H$2)</f>
        <v>#N/A N/A</v>
      </c>
      <c r="I19" s="4" t="str">
        <f>_xll.BDP($A19,I$2)</f>
        <v>#N/A N/A</v>
      </c>
      <c r="J19" s="3" t="str">
        <f>_xll.BDP($A19,J$2)</f>
        <v>BBB-</v>
      </c>
      <c r="K19" t="str">
        <f>_xll.BDP($A19,K$2)</f>
        <v>STABLE</v>
      </c>
      <c r="L19" s="4" t="str">
        <f>_xll.BDP($A19,L$2)</f>
        <v>6/13/2025</v>
      </c>
    </row>
    <row r="20" spans="1:12" x14ac:dyDescent="0.25">
      <c r="A20" t="s">
        <v>94</v>
      </c>
      <c r="B20" t="str">
        <f>_xll.BDP($A20,B$2)</f>
        <v>OMAN</v>
      </c>
      <c r="C20" t="s">
        <v>46</v>
      </c>
      <c r="D20" s="3" t="str">
        <f>_xll.BDP($A20,D$2)</f>
        <v>Baa3</v>
      </c>
      <c r="E20" t="str">
        <f>_xll.BDP($A20,E$2)</f>
        <v>STABLE</v>
      </c>
      <c r="F20" s="4" t="str">
        <f>_xll.BDP($A20,F$2)</f>
        <v>7/10/2025</v>
      </c>
      <c r="G20" s="3" t="str">
        <f>_xll.BDP($A20,G$2)</f>
        <v>BBB-</v>
      </c>
      <c r="H20" t="str">
        <f>_xll.BDP($A20,H$2)</f>
        <v>STABLE</v>
      </c>
      <c r="I20" s="4" t="str">
        <f>_xll.BDP($A20,I$2)</f>
        <v>9/27/2024</v>
      </c>
      <c r="J20" s="3" t="str">
        <f>_xll.BDP($A20,J$2)</f>
        <v>BBB-</v>
      </c>
      <c r="K20" t="str">
        <f>_xll.BDP($A20,K$2)</f>
        <v>STABLE</v>
      </c>
      <c r="L20" s="4" t="str">
        <f>_xll.BDP($A20,L$2)</f>
        <v>12/8/2025</v>
      </c>
    </row>
    <row r="21" spans="1:12" x14ac:dyDescent="0.25">
      <c r="A21" t="s">
        <v>101</v>
      </c>
      <c r="B21" t="str">
        <f>_xll.BDP($A21,B$2)</f>
        <v>ROMANIA</v>
      </c>
      <c r="C21" t="s">
        <v>53</v>
      </c>
      <c r="D21" s="3" t="str">
        <f>_xll.BDP($A21,D$2)</f>
        <v>Baa3</v>
      </c>
      <c r="E21" t="str">
        <f>_xll.BDP($A21,E$2)</f>
        <v>NEG</v>
      </c>
      <c r="F21" s="4" t="str">
        <f>_xll.BDP($A21,F$2)</f>
        <v>3/14/2025</v>
      </c>
      <c r="G21" s="3" t="str">
        <f>_xll.BDP($A21,G$2)</f>
        <v>BBB-</v>
      </c>
      <c r="H21" t="str">
        <f>_xll.BDP($A21,H$2)</f>
        <v>NEG</v>
      </c>
      <c r="I21" s="4" t="str">
        <f>_xll.BDP($A21,I$2)</f>
        <v>1/24/2025</v>
      </c>
      <c r="J21" s="3" t="str">
        <f>_xll.BDP($A21,J$2)</f>
        <v>BBB-</v>
      </c>
      <c r="K21" t="str">
        <f>_xll.BDP($A21,K$2)</f>
        <v>NEG</v>
      </c>
      <c r="L21" s="4" t="str">
        <f>_xll.BDP($A21,L$2)</f>
        <v>12/17/2024</v>
      </c>
    </row>
    <row r="22" spans="1:12" x14ac:dyDescent="0.25">
      <c r="A22" t="s">
        <v>96</v>
      </c>
      <c r="B22" t="str">
        <f>_xll.BDP($A22,B$2)</f>
        <v>PANAMA</v>
      </c>
      <c r="C22" t="s">
        <v>48</v>
      </c>
      <c r="D22" s="3" t="str">
        <f>_xll.BDP($A22,D$2)</f>
        <v>Baa3</v>
      </c>
      <c r="E22" t="str">
        <f>_xll.BDP($A22,E$2)</f>
        <v>NEG</v>
      </c>
      <c r="F22" s="4" t="str">
        <f>_xll.BDP($A22,F$2)</f>
        <v>11/29/2024</v>
      </c>
      <c r="G22" s="3" t="str">
        <f>_xll.BDP($A22,G$2)</f>
        <v>BBB-</v>
      </c>
      <c r="H22" t="str">
        <f>_xll.BDP($A22,H$2)</f>
        <v>STABLE</v>
      </c>
      <c r="I22" s="4" t="str">
        <f>_xll.BDP($A22,I$2)</f>
        <v>11/26/2024</v>
      </c>
      <c r="J22" s="3" t="str">
        <f>_xll.BDP($A22,J$2)</f>
        <v>BB+</v>
      </c>
      <c r="K22" t="str">
        <f>_xll.BDP($A22,K$2)</f>
        <v>STABLE</v>
      </c>
      <c r="L22" s="4" t="str">
        <f>_xll.BDP($A22,L$2)</f>
        <v>3/28/2024</v>
      </c>
    </row>
    <row r="23" spans="1:12" x14ac:dyDescent="0.25">
      <c r="A23" t="s">
        <v>97</v>
      </c>
      <c r="B23" t="str">
        <f>_xll.BDP($A23,B$2)</f>
        <v>PARAGUAY</v>
      </c>
      <c r="C23" t="s">
        <v>49</v>
      </c>
      <c r="D23" s="3" t="str">
        <f>_xll.BDP($A23,D$2)</f>
        <v>Baa3</v>
      </c>
      <c r="E23" t="str">
        <f>_xll.BDP($A23,E$2)</f>
        <v>STABLE</v>
      </c>
      <c r="F23" s="4" t="str">
        <f>_xll.BDP($A23,F$2)</f>
        <v>7/26/2024</v>
      </c>
      <c r="G23" s="3" t="str">
        <f>_xll.BDP($A23,G$2)</f>
        <v>BBB-</v>
      </c>
      <c r="H23" t="str">
        <f>_xll.BDP($A23,H$2)</f>
        <v>STABLE</v>
      </c>
      <c r="I23" s="4" t="str">
        <f>_xll.BDP($A23,I$2)</f>
        <v>12/17/2025</v>
      </c>
      <c r="J23" s="3" t="str">
        <f>_xll.BDP($A23,J$2)</f>
        <v>BB+</v>
      </c>
      <c r="K23" t="str">
        <f>_xll.BDP($A23,K$2)</f>
        <v>POS</v>
      </c>
      <c r="L23" s="4" t="str">
        <f>_xll.BDP($A23,L$2)</f>
        <v>10/6/2025</v>
      </c>
    </row>
    <row r="24" spans="1:12" x14ac:dyDescent="0.25">
      <c r="A24" t="s">
        <v>92</v>
      </c>
      <c r="B24" t="str">
        <f>_xll.BDP($A24,B$2)</f>
        <v>MOROCCO</v>
      </c>
      <c r="C24" t="s">
        <v>44</v>
      </c>
      <c r="D24" s="3" t="str">
        <f>_xll.BDP($A24,D$2)</f>
        <v>Ba1</v>
      </c>
      <c r="E24" t="str">
        <f>_xll.BDP($A24,E$2)</f>
        <v>POS</v>
      </c>
      <c r="F24" s="4" t="str">
        <f>_xll.BDP($A24,F$2)</f>
        <v>3/6/2026</v>
      </c>
      <c r="G24" s="3" t="str">
        <f>_xll.BDP($A24,G$2)</f>
        <v>BBB-</v>
      </c>
      <c r="H24" t="str">
        <f>_xll.BDP($A24,H$2)</f>
        <v>STABLE</v>
      </c>
      <c r="I24" s="4" t="str">
        <f>_xll.BDP($A24,I$2)</f>
        <v>9/26/2025</v>
      </c>
      <c r="J24" s="3" t="str">
        <f>_xll.BDP($A24,J$2)</f>
        <v>BB+u</v>
      </c>
      <c r="K24" t="str">
        <f>_xll.BDP($A24,K$2)</f>
        <v>STABLE</v>
      </c>
      <c r="L24" s="4" t="str">
        <f>_xll.BDP($A24,L$2)</f>
        <v>10/23/2020</v>
      </c>
    </row>
    <row r="25" spans="1:12" x14ac:dyDescent="0.25">
      <c r="A25" t="s">
        <v>77</v>
      </c>
      <c r="B25" t="str">
        <f>_xll.BDP($A25,B$2)</f>
        <v>GUATEMALA</v>
      </c>
      <c r="C25" t="s">
        <v>32</v>
      </c>
      <c r="D25" s="3" t="str">
        <f>_xll.BDP($A25,D$2)</f>
        <v>Ba1</v>
      </c>
      <c r="E25" t="str">
        <f>_xll.BDP($A25,E$2)</f>
        <v>STABLE</v>
      </c>
      <c r="F25" s="4" t="str">
        <f>_xll.BDP($A25,F$2)</f>
        <v>6/15/2022</v>
      </c>
      <c r="G25" s="3" t="str">
        <f>_xll.BDP($A25,G$2)</f>
        <v>BB+</v>
      </c>
      <c r="H25" t="str">
        <f>_xll.BDP($A25,H$2)</f>
        <v>STABLE</v>
      </c>
      <c r="I25" s="4" t="str">
        <f>_xll.BDP($A25,I$2)</f>
        <v>5/23/2025</v>
      </c>
      <c r="J25" s="3" t="str">
        <f>_xll.BDP($A25,J$2)</f>
        <v>BB+</v>
      </c>
      <c r="K25" t="str">
        <f>_xll.BDP($A25,K$2)</f>
        <v>STABLE</v>
      </c>
      <c r="L25" s="4" t="str">
        <f>_xll.BDP($A25,L$2)</f>
        <v>10/14/2025</v>
      </c>
    </row>
    <row r="26" spans="1:12" x14ac:dyDescent="0.25">
      <c r="A26" t="s">
        <v>104</v>
      </c>
      <c r="B26" t="str">
        <f>_xll.BDP($A26,B$2)</f>
        <v>Serbia</v>
      </c>
      <c r="C26" t="s">
        <v>56</v>
      </c>
      <c r="D26" s="3" t="str">
        <f>_xll.BDP($A26,D$2)</f>
        <v>Ba2</v>
      </c>
      <c r="E26" t="str">
        <f>_xll.BDP($A26,E$2)</f>
        <v>STABLE</v>
      </c>
      <c r="F26" s="4" t="str">
        <f>_xll.BDP($A26,F$2)</f>
        <v>2/27/2026</v>
      </c>
      <c r="G26" s="3" t="str">
        <f>_xll.BDP($A26,G$2)</f>
        <v>BBB-</v>
      </c>
      <c r="H26" t="str">
        <f>_xll.BDP($A26,H$2)</f>
        <v>STABLE</v>
      </c>
      <c r="I26" s="4" t="str">
        <f>_xll.BDP($A26,I$2)</f>
        <v>10/4/2024</v>
      </c>
      <c r="J26" s="3" t="str">
        <f>_xll.BDP($A26,J$2)</f>
        <v>BB+</v>
      </c>
      <c r="K26" t="str">
        <f>_xll.BDP($A26,K$2)</f>
        <v>POS</v>
      </c>
      <c r="L26" s="4" t="str">
        <f>_xll.BDP($A26,L$2)</f>
        <v>8/9/2024</v>
      </c>
    </row>
    <row r="27" spans="1:12" x14ac:dyDescent="0.25">
      <c r="A27" t="s">
        <v>286</v>
      </c>
      <c r="B27" t="str">
        <f>_xll.BDP($A27,B$2)</f>
        <v>TRINIDAD AND TO</v>
      </c>
      <c r="C27" t="s">
        <v>288</v>
      </c>
      <c r="D27" s="3" t="str">
        <f>_xll.BDP($A27,D$2)</f>
        <v>Ba2</v>
      </c>
      <c r="E27" t="str">
        <f>_xll.BDP($A27,E$2)</f>
        <v>STABLE</v>
      </c>
      <c r="F27" s="4" t="str">
        <f>_xll.BDP($A27,F$2)</f>
        <v>6/12/2026</v>
      </c>
      <c r="G27" s="3" t="str">
        <f>_xll.BDP($A27,G$2)</f>
        <v>BBB-</v>
      </c>
      <c r="H27" t="str">
        <f>_xll.BDP($A27,H$2)</f>
        <v>NEG</v>
      </c>
      <c r="I27" s="4" t="str">
        <f>_xll.BDP($A27,I$2)</f>
        <v>9/25/2025</v>
      </c>
      <c r="J27" s="3" t="str">
        <f>_xll.BDP($A27,J$2)</f>
        <v>#N/A N/A</v>
      </c>
      <c r="K27" t="str">
        <f>_xll.BDP($A27,K$2)</f>
        <v>#N/A N/A</v>
      </c>
      <c r="L27" s="4" t="str">
        <f>_xll.BDP($A27,L$2)</f>
        <v>#N/A N/A</v>
      </c>
    </row>
    <row r="28" spans="1:12" x14ac:dyDescent="0.25">
      <c r="A28" t="s">
        <v>66</v>
      </c>
      <c r="B28" t="str">
        <f>_xll.BDP($A28,B$2)</f>
        <v>BRAZIL</v>
      </c>
      <c r="C28" t="s">
        <v>22</v>
      </c>
      <c r="D28" s="3" t="str">
        <f>_xll.BDP($A28,D$2)</f>
        <v>Ba1</v>
      </c>
      <c r="E28" t="str">
        <f>_xll.BDP($A28,E$2)</f>
        <v>STABLE</v>
      </c>
      <c r="F28" s="4" t="str">
        <f>_xll.BDP($A28,F$2)</f>
        <v>5/30/2025</v>
      </c>
      <c r="G28" s="3" t="str">
        <f>_xll.BDP($A28,G$2)</f>
        <v>BB</v>
      </c>
      <c r="H28" t="str">
        <f>_xll.BDP($A28,H$2)</f>
        <v>STABLE</v>
      </c>
      <c r="I28" s="4" t="str">
        <f>_xll.BDP($A28,I$2)</f>
        <v>12/19/2023</v>
      </c>
      <c r="J28" s="3" t="str">
        <f>_xll.BDP($A28,J$2)</f>
        <v>BB</v>
      </c>
      <c r="K28" t="str">
        <f>_xll.BDP($A28,K$2)</f>
        <v>STABLE</v>
      </c>
      <c r="L28" s="4" t="str">
        <f>_xll.BDP($A28,L$2)</f>
        <v>7/26/2023</v>
      </c>
    </row>
    <row r="29" spans="1:12" x14ac:dyDescent="0.25">
      <c r="A29" t="s">
        <v>69</v>
      </c>
      <c r="B29" t="str">
        <f>_xll.BDP($A29,B$2)</f>
        <v>COLOMBIA</v>
      </c>
      <c r="C29" t="s">
        <v>25</v>
      </c>
      <c r="D29" s="3" t="str">
        <f>_xll.BDP($A29,D$2)</f>
        <v>Baa3</v>
      </c>
      <c r="E29" t="str">
        <f>_xll.BDP($A29,E$2)</f>
        <v>STABLE</v>
      </c>
      <c r="F29" s="4" t="str">
        <f>_xll.BDP($A29,F$2)</f>
        <v>6/26/2025</v>
      </c>
      <c r="G29" s="3" t="str">
        <f>_xll.BDP($A29,G$2)</f>
        <v>BB-</v>
      </c>
      <c r="H29" t="str">
        <f>_xll.BDP($A29,H$2)</f>
        <v>STABLE</v>
      </c>
      <c r="I29" s="4" t="str">
        <f>_xll.BDP($A29,I$2)</f>
        <v>4/8/2026</v>
      </c>
      <c r="J29" s="3" t="str">
        <f>_xll.BDP($A29,J$2)</f>
        <v>BB</v>
      </c>
      <c r="K29" t="str">
        <f>_xll.BDP($A29,K$2)</f>
        <v>STABLE</v>
      </c>
      <c r="L29" s="4" t="str">
        <f>_xll.BDP($A29,L$2)</f>
        <v>12/16/2025</v>
      </c>
    </row>
    <row r="30" spans="1:12" x14ac:dyDescent="0.25">
      <c r="A30" t="s">
        <v>70</v>
      </c>
      <c r="B30" t="str">
        <f>_xll.BDP($A30,B$2)</f>
        <v>COSTA RICA</v>
      </c>
      <c r="C30" t="s">
        <v>273</v>
      </c>
      <c r="D30" s="3" t="str">
        <f>_xll.BDP($A30,D$2)</f>
        <v>Ba2</v>
      </c>
      <c r="E30" t="str">
        <f>_xll.BDP($A30,E$2)</f>
        <v>STABLE</v>
      </c>
      <c r="F30" s="4" t="str">
        <f>_xll.BDP($A30,F$2)</f>
        <v>9/24/2025</v>
      </c>
      <c r="G30" s="3" t="str">
        <f>_xll.BDP($A30,G$2)</f>
        <v>BB</v>
      </c>
      <c r="H30" t="str">
        <f>_xll.BDP($A30,H$2)</f>
        <v>STABLE</v>
      </c>
      <c r="I30" s="4" t="str">
        <f>_xll.BDP($A30,I$2)</f>
        <v>10/22/2025</v>
      </c>
      <c r="J30" s="3" t="str">
        <f>_xll.BDP($A30,J$2)</f>
        <v>BB</v>
      </c>
      <c r="K30" t="str">
        <f>_xll.BDP($A30,K$2)</f>
        <v>POS</v>
      </c>
      <c r="L30" s="4" t="str">
        <f>_xll.BDP($A30,L$2)</f>
        <v>2/25/2025</v>
      </c>
    </row>
    <row r="31" spans="1:12" x14ac:dyDescent="0.25">
      <c r="A31" t="s">
        <v>295</v>
      </c>
      <c r="B31" t="str">
        <f>_xll.BDP($A31,B$2)</f>
        <v>GEORGIA</v>
      </c>
      <c r="C31" t="s">
        <v>278</v>
      </c>
      <c r="D31" s="3" t="str">
        <f>_xll.BDP($A31,D$2)</f>
        <v>Ba2</v>
      </c>
      <c r="E31" t="str">
        <f>_xll.BDP($A31,E$2)</f>
        <v>STABLE</v>
      </c>
      <c r="F31" s="4" t="str">
        <f>_xll.BDP($A31,F$2)</f>
        <v>6/30/2026</v>
      </c>
      <c r="G31" s="3" t="str">
        <f>_xll.BDP($A31,G$2)</f>
        <v>BB</v>
      </c>
      <c r="H31" t="str">
        <f>_xll.BDP($A31,H$2)</f>
        <v>POS</v>
      </c>
      <c r="I31" s="4" t="str">
        <f>_xll.BDP($A31,I$2)</f>
        <v>8/7/2026</v>
      </c>
      <c r="J31" s="3" t="str">
        <f>_xll.BDP($A31,J$2)</f>
        <v>BB</v>
      </c>
      <c r="K31" t="str">
        <f>_xll.BDP($A31,K$2)</f>
        <v>STABLE</v>
      </c>
      <c r="L31" s="4" t="str">
        <f>_xll.BDP($A31,L$2)</f>
        <v>11/21/2025</v>
      </c>
    </row>
    <row r="32" spans="1:12" x14ac:dyDescent="0.25">
      <c r="A32" t="s">
        <v>82</v>
      </c>
      <c r="B32" t="str">
        <f>_xll.BDP($A32,B$2)</f>
        <v>IVORY COAST</v>
      </c>
      <c r="C32" t="s">
        <v>36</v>
      </c>
      <c r="D32" s="3" t="str">
        <f>_xll.BDP($A32,D$2)</f>
        <v>Ba2</v>
      </c>
      <c r="E32" t="str">
        <f>_xll.BDP($A32,E$2)</f>
        <v>STABLE</v>
      </c>
      <c r="F32" s="4" t="str">
        <f>_xll.BDP($A32,F$2)</f>
        <v>3/1/2024</v>
      </c>
      <c r="G32" s="3" t="str">
        <f>_xll.BDP($A32,G$2)</f>
        <v>BB</v>
      </c>
      <c r="H32" t="str">
        <f>_xll.BDP($A32,H$2)</f>
        <v>STABLE</v>
      </c>
      <c r="I32" s="4" t="str">
        <f>_xll.BDP($A32,I$2)</f>
        <v>10/18/2024</v>
      </c>
      <c r="J32" s="3" t="str">
        <f>_xll.BDP($A32,J$2)</f>
        <v>BB</v>
      </c>
      <c r="K32" t="str">
        <f>_xll.BDP($A32,K$2)</f>
        <v>STABLE</v>
      </c>
      <c r="L32" s="4" t="str">
        <f>_xll.BDP($A32,L$2)</f>
        <v>12/12/2025</v>
      </c>
    </row>
    <row r="33" spans="1:12" x14ac:dyDescent="0.25">
      <c r="A33" t="s">
        <v>105</v>
      </c>
      <c r="B33" t="str">
        <f>_xll.BDP($A33,B$2)</f>
        <v>SOUTH AFRICA</v>
      </c>
      <c r="C33" t="s">
        <v>57</v>
      </c>
      <c r="D33" s="3" t="str">
        <f>_xll.BDP($A33,D$2)</f>
        <v>Ba2</v>
      </c>
      <c r="E33" t="str">
        <f>_xll.BDP($A33,E$2)</f>
        <v>POS</v>
      </c>
      <c r="F33" s="4" t="str">
        <f>_xll.BDP($A33,F$2)</f>
        <v>5/22/2026</v>
      </c>
      <c r="G33" s="3" t="str">
        <f>_xll.BDP($A33,G$2)</f>
        <v>BB</v>
      </c>
      <c r="H33" t="str">
        <f>_xll.BDP($A33,H$2)</f>
        <v>POS</v>
      </c>
      <c r="I33" s="4" t="str">
        <f>_xll.BDP($A33,I$2)</f>
        <v>11/14/2025</v>
      </c>
      <c r="J33" s="3" t="str">
        <f>_xll.BDP($A33,J$2)</f>
        <v>BB</v>
      </c>
      <c r="K33" t="str">
        <f>_xll.BDP($A33,K$2)</f>
        <v>STABLE</v>
      </c>
      <c r="L33" s="4" t="str">
        <f>_xll.BDP($A33,L$2)</f>
        <v>6/5/2026</v>
      </c>
    </row>
    <row r="34" spans="1:12" x14ac:dyDescent="0.25">
      <c r="A34" t="s">
        <v>296</v>
      </c>
      <c r="B34" t="str">
        <f>_xll.BDP($A34,B$2)</f>
        <v>UZBEKISTAN</v>
      </c>
      <c r="C34" t="s">
        <v>279</v>
      </c>
      <c r="D34" s="3" t="str">
        <f>_xll.BDP($A34,D$2)</f>
        <v>Ba2u</v>
      </c>
      <c r="E34" t="str">
        <f>_xll.BDP($A34,E$2)</f>
        <v>STABLE</v>
      </c>
      <c r="F34" s="4" t="str">
        <f>_xll.BDP($A34,F$2)</f>
        <v>6/25/2026</v>
      </c>
      <c r="G34" s="3" t="str">
        <f>_xll.BDP($A34,G$2)</f>
        <v>BB</v>
      </c>
      <c r="H34" t="str">
        <f>_xll.BDP($A34,H$2)</f>
        <v>STABLE</v>
      </c>
      <c r="I34" s="4" t="str">
        <f>_xll.BDP($A34,I$2)</f>
        <v>11/21/2025</v>
      </c>
      <c r="J34" s="3" t="str">
        <f>_xll.BDP($A34,J$2)</f>
        <v>BB</v>
      </c>
      <c r="K34" t="str">
        <f>_xll.BDP($A34,K$2)</f>
        <v>POS</v>
      </c>
      <c r="L34" s="4" t="str">
        <f>_xll.BDP($A34,L$2)</f>
        <v>6/3/2026</v>
      </c>
    </row>
    <row r="35" spans="1:12" x14ac:dyDescent="0.25">
      <c r="A35" t="s">
        <v>71</v>
      </c>
      <c r="B35" t="str">
        <f>_xll.BDP($A35,B$2)</f>
        <v>DOMINICAN REPB.</v>
      </c>
      <c r="C35" t="s">
        <v>26</v>
      </c>
      <c r="D35" s="3" t="str">
        <f>_xll.BDP($A35,D$2)</f>
        <v>Ba2</v>
      </c>
      <c r="E35" t="str">
        <f>_xll.BDP($A35,E$2)</f>
        <v>STABLE</v>
      </c>
      <c r="F35" s="4" t="str">
        <f>_xll.BDP($A35,F$2)</f>
        <v>8/1/2025</v>
      </c>
      <c r="G35" s="3" t="str">
        <f>_xll.BDP($A35,G$2)</f>
        <v>BB</v>
      </c>
      <c r="H35" t="str">
        <f>_xll.BDP($A35,H$2)</f>
        <v>STABLE</v>
      </c>
      <c r="I35" s="4" t="str">
        <f>_xll.BDP($A35,I$2)</f>
        <v>12/19/2022</v>
      </c>
      <c r="J35" s="3" t="str">
        <f>_xll.BDP($A35,J$2)</f>
        <v>BB-</v>
      </c>
      <c r="K35" t="str">
        <f>_xll.BDP($A35,K$2)</f>
        <v>STABLE</v>
      </c>
      <c r="L35" s="4" t="str">
        <f>_xll.BDP($A35,L$2)</f>
        <v>4/15/2026</v>
      </c>
    </row>
    <row r="36" spans="1:12" x14ac:dyDescent="0.25">
      <c r="A36" t="s">
        <v>83</v>
      </c>
      <c r="B36" t="str">
        <f>_xll.BDP($A36,B$2)</f>
        <v>JAMAICA</v>
      </c>
      <c r="C36" t="s">
        <v>37</v>
      </c>
      <c r="D36" s="3" t="str">
        <f>_xll.BDP($A36,D$2)</f>
        <v>Ba3</v>
      </c>
      <c r="E36" t="str">
        <f>_xll.BDP($A36,E$2)</f>
        <v>STABLE</v>
      </c>
      <c r="F36" s="4" t="str">
        <f>_xll.BDP($A36,F$2)</f>
        <v>12/19/2025</v>
      </c>
      <c r="G36" s="3" t="str">
        <f>_xll.BDP($A36,G$2)</f>
        <v>BB</v>
      </c>
      <c r="H36" t="str">
        <f>_xll.BDP($A36,H$2)</f>
        <v>STABLE</v>
      </c>
      <c r="I36" s="4" t="str">
        <f>_xll.BDP($A36,I$2)</f>
        <v>12/18/2025</v>
      </c>
      <c r="J36" s="3" t="str">
        <f>_xll.BDP($A36,J$2)</f>
        <v>BB-</v>
      </c>
      <c r="K36" t="str">
        <f>_xll.BDP($A36,K$2)</f>
        <v>STABLE</v>
      </c>
      <c r="L36" s="4" t="str">
        <f>_xll.BDP($A36,L$2)</f>
        <v>11/20/2025</v>
      </c>
    </row>
    <row r="37" spans="1:12" x14ac:dyDescent="0.25">
      <c r="A37" t="s">
        <v>64</v>
      </c>
      <c r="B37" t="str">
        <f>_xll.BDP($A37,B$2)</f>
        <v>ARMENIA</v>
      </c>
      <c r="C37" t="s">
        <v>29</v>
      </c>
      <c r="D37" s="3" t="str">
        <f>_xll.BDP($A37,D$2)</f>
        <v>Ba3</v>
      </c>
      <c r="E37" t="str">
        <f>_xll.BDP($A37,E$2)</f>
        <v>POS</v>
      </c>
      <c r="F37" s="4" t="str">
        <f>_xll.BDP($A37,F$2)</f>
        <v>7/28/2026</v>
      </c>
      <c r="G37" s="3" t="str">
        <f>_xll.BDP($A37,G$2)</f>
        <v>BB-</v>
      </c>
      <c r="H37" t="str">
        <f>_xll.BDP($A37,H$2)</f>
        <v>POS</v>
      </c>
      <c r="I37" s="4" t="str">
        <f>_xll.BDP($A37,I$2)</f>
        <v>2/20/2026</v>
      </c>
      <c r="J37" s="3" t="str">
        <f>_xll.BDP($A37,J$2)</f>
        <v>BB-</v>
      </c>
      <c r="K37" t="str">
        <f>_xll.BDP($A37,K$2)</f>
        <v>POS</v>
      </c>
      <c r="L37" s="4" t="str">
        <f>_xll.BDP($A37,L$2)</f>
        <v>1/16/2026</v>
      </c>
    </row>
    <row r="38" spans="1:12" x14ac:dyDescent="0.25">
      <c r="A38" t="s">
        <v>84</v>
      </c>
      <c r="B38" t="str">
        <f>_xll.BDP($A38,B$2)</f>
        <v>JORDAN</v>
      </c>
      <c r="C38" t="s">
        <v>38</v>
      </c>
      <c r="D38" s="3" t="str">
        <f>_xll.BDP($A38,D$2)</f>
        <v>Ba3</v>
      </c>
      <c r="E38" t="str">
        <f>_xll.BDP($A38,E$2)</f>
        <v>STABLE</v>
      </c>
      <c r="F38" s="4" t="str">
        <f>_xll.BDP($A38,F$2)</f>
        <v>5/9/2024</v>
      </c>
      <c r="G38" s="3" t="str">
        <f>_xll.BDP($A38,G$2)</f>
        <v>BB-</v>
      </c>
      <c r="H38" t="str">
        <f>_xll.BDP($A38,H$2)</f>
        <v>STABLE</v>
      </c>
      <c r="I38" s="4" t="str">
        <f>_xll.BDP($A38,I$2)</f>
        <v>9/6/2024</v>
      </c>
      <c r="J38" s="3" t="str">
        <f>_xll.BDP($A38,J$2)</f>
        <v>BB-</v>
      </c>
      <c r="K38" t="str">
        <f>_xll.BDP($A38,K$2)</f>
        <v>STABLE</v>
      </c>
      <c r="L38" s="4" t="str">
        <f>_xll.BDP($A38,L$2)</f>
        <v>12/7/2021</v>
      </c>
    </row>
    <row r="39" spans="1:12" x14ac:dyDescent="0.25">
      <c r="A39" t="s">
        <v>107</v>
      </c>
      <c r="B39" t="str">
        <f>_xll.BDP($A39,B$2)</f>
        <v>TURKEY</v>
      </c>
      <c r="C39" t="s">
        <v>59</v>
      </c>
      <c r="D39" s="3" t="str">
        <f>_xll.BDP($A39,D$2)</f>
        <v>Ba3</v>
      </c>
      <c r="E39" t="str">
        <f>_xll.BDP($A39,E$2)</f>
        <v>STABLE</v>
      </c>
      <c r="F39" s="4" t="str">
        <f>_xll.BDP($A39,F$2)</f>
        <v>7/25/2025</v>
      </c>
      <c r="G39" s="3" t="str">
        <f>_xll.BDP($A39,G$2)</f>
        <v>BB-u</v>
      </c>
      <c r="H39" t="str">
        <f>_xll.BDP($A39,H$2)</f>
        <v>STABLE</v>
      </c>
      <c r="I39" s="4" t="str">
        <f>_xll.BDP($A39,I$2)</f>
        <v>11/1/2024</v>
      </c>
      <c r="J39" s="3" t="str">
        <f>_xll.BDP($A39,J$2)</f>
        <v>BB-</v>
      </c>
      <c r="K39" t="str">
        <f>_xll.BDP($A39,K$2)</f>
        <v>STABLE</v>
      </c>
      <c r="L39" s="4" t="str">
        <f>_xll.BDP($A39,L$2)</f>
        <v>4/10/2026</v>
      </c>
    </row>
    <row r="40" spans="1:12" x14ac:dyDescent="0.25">
      <c r="A40" t="s">
        <v>78</v>
      </c>
      <c r="B40" t="str">
        <f>_xll.BDP($A40,B$2)</f>
        <v>HONDURAS</v>
      </c>
      <c r="C40" t="s">
        <v>33</v>
      </c>
      <c r="D40" s="3" t="str">
        <f>_xll.BDP($A40,D$2)</f>
        <v>B1</v>
      </c>
      <c r="E40" t="str">
        <f>_xll.BDP($A40,E$2)</f>
        <v>STABLE</v>
      </c>
      <c r="F40" s="4" t="str">
        <f>_xll.BDP($A40,F$2)</f>
        <v>9/22/2017</v>
      </c>
      <c r="G40" s="3" t="str">
        <f>_xll.BDP($A40,G$2)</f>
        <v>BB-</v>
      </c>
      <c r="H40" t="str">
        <f>_xll.BDP($A40,H$2)</f>
        <v>STABLE</v>
      </c>
      <c r="I40" s="4" t="str">
        <f>_xll.BDP($A40,I$2)</f>
        <v>3/26/2026</v>
      </c>
      <c r="J40" s="3" t="str">
        <f>_xll.BDP($A40,J$2)</f>
        <v>#N/A N/A</v>
      </c>
      <c r="K40" t="str">
        <f>_xll.BDP($A40,K$2)</f>
        <v>#N/A N/A</v>
      </c>
      <c r="L40" s="4" t="str">
        <f>_xll.BDP($A40,L$2)</f>
        <v>#N/A N/A</v>
      </c>
    </row>
    <row r="41" spans="1:12" x14ac:dyDescent="0.25">
      <c r="A41" t="s">
        <v>297</v>
      </c>
      <c r="B41" t="str">
        <f>_xll.BDP($A41,B$2)</f>
        <v>BENIN</v>
      </c>
      <c r="C41" t="s">
        <v>280</v>
      </c>
      <c r="D41" s="3" t="str">
        <f>_xll.BDP($A41,D$2)</f>
        <v>Ba3</v>
      </c>
      <c r="E41" t="str">
        <f>_xll.BDP($A41,E$2)</f>
        <v>STABLE</v>
      </c>
      <c r="F41" s="4" t="str">
        <f>_xll.BDP($A41,F$2)</f>
        <v>8/7/2026</v>
      </c>
      <c r="G41" s="3" t="str">
        <f>_xll.BDP($A41,G$2)</f>
        <v>BB-</v>
      </c>
      <c r="H41" t="str">
        <f>_xll.BDP($A41,H$2)</f>
        <v>STABLE</v>
      </c>
      <c r="I41" s="4" t="str">
        <f>_xll.BDP($A41,I$2)</f>
        <v>12/19/2025</v>
      </c>
      <c r="J41" s="3" t="str">
        <f>_xll.BDP($A41,J$2)</f>
        <v>B+</v>
      </c>
      <c r="K41" t="str">
        <f>_xll.BDP($A41,K$2)</f>
        <v>POS</v>
      </c>
      <c r="L41" s="4" t="str">
        <f>_xll.BDP($A41,L$2)</f>
        <v>1/16/2026</v>
      </c>
    </row>
    <row r="42" spans="1:12" x14ac:dyDescent="0.25">
      <c r="A42" t="s">
        <v>91</v>
      </c>
      <c r="B42" t="str">
        <f>_xll.BDP($A42,B$2)</f>
        <v>MONGOLIA</v>
      </c>
      <c r="C42" t="s">
        <v>43</v>
      </c>
      <c r="D42" s="3" t="str">
        <f>_xll.BDP($A42,D$2)</f>
        <v>B1</v>
      </c>
      <c r="E42" t="str">
        <f>_xll.BDP($A42,E$2)</f>
        <v>STABLE</v>
      </c>
      <c r="F42" s="4" t="str">
        <f>_xll.BDP($A42,F$2)</f>
        <v>10/16/2025</v>
      </c>
      <c r="G42" s="3" t="str">
        <f>_xll.BDP($A42,G$2)</f>
        <v>BB-</v>
      </c>
      <c r="H42" t="str">
        <f>_xll.BDP($A42,H$2)</f>
        <v>STABLE</v>
      </c>
      <c r="I42" s="4" t="str">
        <f>_xll.BDP($A42,I$2)</f>
        <v>10/30/2025</v>
      </c>
      <c r="J42" s="3" t="str">
        <f>_xll.BDP($A42,J$2)</f>
        <v>B+</v>
      </c>
      <c r="K42" t="str">
        <f>_xll.BDP($A42,K$2)</f>
        <v>STABLE</v>
      </c>
      <c r="L42" s="4" t="str">
        <f>_xll.BDP($A42,L$2)</f>
        <v>9/18/2024</v>
      </c>
    </row>
    <row r="43" spans="1:12" x14ac:dyDescent="0.25">
      <c r="A43" t="s">
        <v>13</v>
      </c>
      <c r="B43" t="str">
        <f>_xll.BDP($A43,B$2)</f>
        <v>BAHRAIN</v>
      </c>
      <c r="C43" t="s">
        <v>15</v>
      </c>
      <c r="D43" s="3" t="str">
        <f>_xll.BDP($A43,D$2)</f>
        <v>B2u</v>
      </c>
      <c r="E43" t="str">
        <f>_xll.BDP($A43,E$2)</f>
        <v>NEG</v>
      </c>
      <c r="F43" s="4" t="str">
        <f>_xll.BDP($A43,F$2)</f>
        <v>4/18/2026</v>
      </c>
      <c r="G43" s="3" t="str">
        <f>_xll.BDP($A43,G$2)</f>
        <v>B</v>
      </c>
      <c r="H43" t="str">
        <f>_xll.BDP($A43,H$2)</f>
        <v>STABLE</v>
      </c>
      <c r="I43" s="4" t="str">
        <f>_xll.BDP($A43,I$2)</f>
        <v>11/21/2025</v>
      </c>
      <c r="J43" s="3" t="str">
        <f>_xll.BDP($A43,J$2)</f>
        <v>B</v>
      </c>
      <c r="K43" t="str">
        <f>_xll.BDP($A43,K$2)</f>
        <v>STABLE</v>
      </c>
      <c r="L43" s="4" t="str">
        <f>_xll.BDP($A43,L$2)</f>
        <v>2/23/2026</v>
      </c>
    </row>
    <row r="44" spans="1:12" x14ac:dyDescent="0.25">
      <c r="A44" t="s">
        <v>284</v>
      </c>
      <c r="B44" t="str">
        <f>_xll.BDP($A44,B$2)</f>
        <v>BARBADOS</v>
      </c>
      <c r="C44" t="s">
        <v>275</v>
      </c>
      <c r="D44" s="3" t="str">
        <f>_xll.BDP($A44,D$2)</f>
        <v>B2</v>
      </c>
      <c r="E44" t="str">
        <f>_xll.BDP($A44,E$2)</f>
        <v>STABLE</v>
      </c>
      <c r="F44" s="4" t="str">
        <f>_xll.BDP($A44,F$2)</f>
        <v>4/14/2025</v>
      </c>
      <c r="G44" s="3" t="str">
        <f>_xll.BDP($A44,G$2)</f>
        <v>B+</v>
      </c>
      <c r="H44" t="str">
        <f>_xll.BDP($A44,H$2)</f>
        <v>STABLE</v>
      </c>
      <c r="I44" s="4" t="str">
        <f>_xll.BDP($A44,I$2)</f>
        <v>10/24/2025</v>
      </c>
      <c r="J44" s="3" t="str">
        <f>_xll.BDP($A44,J$2)</f>
        <v>B+</v>
      </c>
      <c r="K44" t="str">
        <f>_xll.BDP($A44,K$2)</f>
        <v>POS</v>
      </c>
      <c r="L44" s="4" t="str">
        <f>_xll.BDP($A44,L$2)</f>
        <v>10/9/2025</v>
      </c>
    </row>
    <row r="45" spans="1:12" x14ac:dyDescent="0.25">
      <c r="A45" t="s">
        <v>302</v>
      </c>
      <c r="B45" t="str">
        <f>_xll.BDP($A45,B$2)</f>
        <v>RWANDA</v>
      </c>
      <c r="C45" t="s">
        <v>303</v>
      </c>
      <c r="D45" s="3" t="str">
        <f>_xll.BDP($A45,D$2)</f>
        <v>B2</v>
      </c>
      <c r="E45" t="str">
        <f>_xll.BDP($A45,E$2)</f>
        <v>STABLE</v>
      </c>
      <c r="F45" s="4" t="str">
        <f>_xll.BDP($A45,F$2)</f>
        <v>9/19/2025</v>
      </c>
      <c r="G45" s="3" t="str">
        <f>_xll.BDP($A45,G$2)</f>
        <v>B+</v>
      </c>
      <c r="H45" t="str">
        <f>_xll.BDP($A45,H$2)</f>
        <v>STABLE</v>
      </c>
      <c r="I45" s="4" t="str">
        <f>_xll.BDP($A45,I$2)</f>
        <v>1/27/2023</v>
      </c>
      <c r="J45" s="3" t="str">
        <f>_xll.BDP($A45,J$2)</f>
        <v>B+</v>
      </c>
      <c r="K45" t="str">
        <f>_xll.BDP($A45,K$2)</f>
        <v>STABLE</v>
      </c>
      <c r="L45" s="4" t="str">
        <f>_xll.BDP($A45,L$2)</f>
        <v>3/13/2026</v>
      </c>
    </row>
    <row r="46" spans="1:12" x14ac:dyDescent="0.25">
      <c r="A46" t="s">
        <v>93</v>
      </c>
      <c r="B46" t="str">
        <f>_xll.BDP($A46,B$2)</f>
        <v>NIGERIA</v>
      </c>
      <c r="C46" t="s">
        <v>45</v>
      </c>
      <c r="D46" s="3" t="str">
        <f>_xll.BDP($A46,D$2)</f>
        <v>B3</v>
      </c>
      <c r="E46" t="str">
        <f>_xll.BDP($A46,E$2)</f>
        <v>STABLE</v>
      </c>
      <c r="F46" s="4" t="str">
        <f>_xll.BDP($A46,F$2)</f>
        <v>5/30/2025</v>
      </c>
      <c r="G46" s="3" t="str">
        <f>_xll.BDP($A46,G$2)</f>
        <v>B</v>
      </c>
      <c r="H46" t="str">
        <f>_xll.BDP($A46,H$2)</f>
        <v>STABLE</v>
      </c>
      <c r="I46" s="4" t="str">
        <f>_xll.BDP($A46,I$2)</f>
        <v>5/15/2026</v>
      </c>
      <c r="J46" s="3" t="str">
        <f>_xll.BDP($A46,J$2)</f>
        <v>B</v>
      </c>
      <c r="K46" t="str">
        <f>_xll.BDP($A46,K$2)</f>
        <v>STABLE</v>
      </c>
      <c r="L46" s="4" t="str">
        <f>_xll.BDP($A46,L$2)</f>
        <v>4/11/2025</v>
      </c>
    </row>
    <row r="47" spans="1:12" x14ac:dyDescent="0.25">
      <c r="A47" t="s">
        <v>289</v>
      </c>
      <c r="B47" t="str">
        <f>_xll.BDP($A47,B$2)</f>
        <v>PAPUA N.GUINEA</v>
      </c>
      <c r="C47" t="s">
        <v>277</v>
      </c>
      <c r="D47" s="3" t="str">
        <f>_xll.BDP($A47,D$2)</f>
        <v>B2</v>
      </c>
      <c r="E47" t="str">
        <f>_xll.BDP($A47,E$2)</f>
        <v>POS</v>
      </c>
      <c r="F47" s="4" t="str">
        <f>_xll.BDP($A47,F$2)</f>
        <v>7/27/2026</v>
      </c>
      <c r="G47" s="3" t="str">
        <f>_xll.BDP($A47,G$2)</f>
        <v>B-</v>
      </c>
      <c r="H47" t="str">
        <f>_xll.BDP($A47,H$2)</f>
        <v>POS</v>
      </c>
      <c r="I47" s="4" t="str">
        <f>_xll.BDP($A47,I$2)</f>
        <v>6/19/2026</v>
      </c>
      <c r="J47" s="3" t="str">
        <f>_xll.BDP($A47,J$2)</f>
        <v>NR</v>
      </c>
      <c r="K47" t="str">
        <f>_xll.BDP($A47,K$2)</f>
        <v>#N/A N/A</v>
      </c>
      <c r="L47" s="4" t="str">
        <f>_xll.BDP($A47,L$2)</f>
        <v>#N/A N/A</v>
      </c>
    </row>
    <row r="48" spans="1:12" x14ac:dyDescent="0.25">
      <c r="A48" t="s">
        <v>73</v>
      </c>
      <c r="B48" t="str">
        <f>_xll.BDP($A48,B$2)</f>
        <v>EGYPT</v>
      </c>
      <c r="C48" t="s">
        <v>28</v>
      </c>
      <c r="D48" s="3" t="str">
        <f>_xll.BDP($A48,D$2)</f>
        <v>Caa1</v>
      </c>
      <c r="E48" t="str">
        <f>_xll.BDP($A48,E$2)</f>
        <v>POS</v>
      </c>
      <c r="F48" s="4" t="str">
        <f>_xll.BDP($A48,F$2)</f>
        <v>3/7/2024</v>
      </c>
      <c r="G48" s="3" t="str">
        <f>_xll.BDP($A48,G$2)</f>
        <v>B</v>
      </c>
      <c r="H48" t="str">
        <f>_xll.BDP($A48,H$2)</f>
        <v>STABLE</v>
      </c>
      <c r="I48" s="4" t="str">
        <f>_xll.BDP($A48,I$2)</f>
        <v>10/10/2025</v>
      </c>
      <c r="J48" s="3" t="str">
        <f>_xll.BDP($A48,J$2)</f>
        <v>B</v>
      </c>
      <c r="K48" t="str">
        <f>_xll.BDP($A48,K$2)</f>
        <v>STABLE</v>
      </c>
      <c r="L48" s="4" t="str">
        <f>_xll.BDP($A48,L$2)</f>
        <v>11/1/2024</v>
      </c>
    </row>
    <row r="49" spans="1:12" x14ac:dyDescent="0.25">
      <c r="A49" t="s">
        <v>86</v>
      </c>
      <c r="B49" t="str">
        <f>_xll.BDP($A49,B$2)</f>
        <v>KENYA</v>
      </c>
      <c r="C49" t="s">
        <v>40</v>
      </c>
      <c r="D49" s="3" t="str">
        <f>_xll.BDP($A49,D$2)</f>
        <v>B3u</v>
      </c>
      <c r="E49" t="str">
        <f>_xll.BDP($A49,E$2)</f>
        <v>STABLE</v>
      </c>
      <c r="F49" s="4" t="str">
        <f>_xll.BDP($A49,F$2)</f>
        <v>1/27/2026</v>
      </c>
      <c r="G49" s="3" t="str">
        <f>_xll.BDP($A49,G$2)</f>
        <v>B</v>
      </c>
      <c r="H49" t="str">
        <f>_xll.BDP($A49,H$2)</f>
        <v>STABLE</v>
      </c>
      <c r="I49" s="4" t="str">
        <f>_xll.BDP($A49,I$2)</f>
        <v>8/22/2025</v>
      </c>
      <c r="J49" s="3" t="str">
        <f>_xll.BDP($A49,J$2)</f>
        <v>B-</v>
      </c>
      <c r="K49" t="str">
        <f>_xll.BDP($A49,K$2)</f>
        <v>STABLE</v>
      </c>
      <c r="L49" s="4" t="str">
        <f>_xll.BDP($A49,L$2)</f>
        <v>8/2/2024</v>
      </c>
    </row>
    <row r="50" spans="1:12" x14ac:dyDescent="0.25">
      <c r="A50" t="s">
        <v>17</v>
      </c>
      <c r="B50" t="str">
        <f>_xll.BDP($A50,B$2)</f>
        <v>ANGOLA</v>
      </c>
      <c r="C50" t="s">
        <v>18</v>
      </c>
      <c r="D50" s="3" t="str">
        <f>_xll.BDP($A50,D$2)</f>
        <v>B3</v>
      </c>
      <c r="E50" t="str">
        <f>_xll.BDP($A50,E$2)</f>
        <v>STABLE</v>
      </c>
      <c r="F50" s="4" t="str">
        <f>_xll.BDP($A50,F$2)</f>
        <v>11/29/2024</v>
      </c>
      <c r="G50" s="3" t="str">
        <f>_xll.BDP($A50,G$2)</f>
        <v>B-</v>
      </c>
      <c r="H50" t="str">
        <f>_xll.BDP($A50,H$2)</f>
        <v>STABLE</v>
      </c>
      <c r="I50" s="4" t="str">
        <f>_xll.BDP($A50,I$2)</f>
        <v>2/4/2022</v>
      </c>
      <c r="J50" s="3" t="str">
        <f>_xll.BDP($A50,J$2)</f>
        <v>B-</v>
      </c>
      <c r="K50" t="str">
        <f>_xll.BDP($A50,K$2)</f>
        <v>STABLE</v>
      </c>
      <c r="L50" s="4" t="str">
        <f>_xll.BDP($A50,L$2)</f>
        <v>6/23/2023</v>
      </c>
    </row>
    <row r="51" spans="1:12" x14ac:dyDescent="0.25">
      <c r="A51" t="s">
        <v>298</v>
      </c>
      <c r="B51" t="str">
        <f>_xll.BDP($A51,B$2)</f>
        <v>CAMEROON</v>
      </c>
      <c r="C51" t="s">
        <v>281</v>
      </c>
      <c r="D51" s="3" t="str">
        <f>_xll.BDP($A51,D$2)</f>
        <v>Caa1u</v>
      </c>
      <c r="E51" t="str">
        <f>_xll.BDP($A51,E$2)</f>
        <v>STABLE</v>
      </c>
      <c r="F51" s="4" t="str">
        <f>_xll.BDP($A51,F$2)</f>
        <v>7/27/2023</v>
      </c>
      <c r="G51" s="3" t="str">
        <f>_xll.BDP($A51,G$2)</f>
        <v>B-</v>
      </c>
      <c r="H51" t="str">
        <f>_xll.BDP($A51,H$2)</f>
        <v>STABLE</v>
      </c>
      <c r="I51" s="4" t="str">
        <f>_xll.BDP($A51,I$2)</f>
        <v>3/22/2024</v>
      </c>
      <c r="J51" s="3" t="str">
        <f>_xll.BDP($A51,J$2)</f>
        <v>B</v>
      </c>
      <c r="K51" t="str">
        <f>_xll.BDP($A51,K$2)</f>
        <v>NEG</v>
      </c>
      <c r="L51" s="4" t="str">
        <f>_xll.BDP($A51,L$2)</f>
        <v>11/17/2023</v>
      </c>
    </row>
    <row r="52" spans="1:12" x14ac:dyDescent="0.25">
      <c r="A52" t="s">
        <v>74</v>
      </c>
      <c r="B52" t="str">
        <f>_xll.BDP($A52,B$2)</f>
        <v>EL SALVADOR</v>
      </c>
      <c r="C52" t="s">
        <v>274</v>
      </c>
      <c r="D52" s="3" t="str">
        <f>_xll.BDP($A52,D$2)</f>
        <v>B3</v>
      </c>
      <c r="E52" t="str">
        <f>_xll.BDP($A52,E$2)</f>
        <v>POS</v>
      </c>
      <c r="F52" s="4" t="str">
        <f>_xll.BDP($A52,F$2)</f>
        <v>2/6/2026</v>
      </c>
      <c r="G52" s="3" t="str">
        <f>_xll.BDP($A52,G$2)</f>
        <v>B-</v>
      </c>
      <c r="H52" t="str">
        <f>_xll.BDP($A52,H$2)</f>
        <v>STABLE</v>
      </c>
      <c r="I52" s="4" t="str">
        <f>_xll.BDP($A52,I$2)</f>
        <v>11/7/2023</v>
      </c>
      <c r="J52" s="3" t="str">
        <f>_xll.BDP($A52,J$2)</f>
        <v>B-</v>
      </c>
      <c r="K52" t="str">
        <f>_xll.BDP($A52,K$2)</f>
        <v>STABLE</v>
      </c>
      <c r="L52" s="4" t="str">
        <f>_xll.BDP($A52,L$2)</f>
        <v>1/7/2025</v>
      </c>
    </row>
    <row r="53" spans="1:12" x14ac:dyDescent="0.25">
      <c r="A53" t="s">
        <v>76</v>
      </c>
      <c r="B53" t="str">
        <f>_xll.BDP($A53,B$2)</f>
        <v>GHANA</v>
      </c>
      <c r="C53" t="s">
        <v>31</v>
      </c>
      <c r="D53" s="3" t="str">
        <f>_xll.BDP($A53,D$2)</f>
        <v>Caa1</v>
      </c>
      <c r="E53" t="str">
        <f>_xll.BDP($A53,E$2)</f>
        <v>POS</v>
      </c>
      <c r="F53" s="4" t="str">
        <f>_xll.BDP($A53,F$2)</f>
        <v>4/10/2026</v>
      </c>
      <c r="G53" s="3" t="str">
        <f>_xll.BDP($A53,G$2)</f>
        <v>B-</v>
      </c>
      <c r="H53" t="str">
        <f>_xll.BDP($A53,H$2)</f>
        <v>STABLE</v>
      </c>
      <c r="I53" s="4" t="str">
        <f>_xll.BDP($A53,I$2)</f>
        <v>11/7/2025</v>
      </c>
      <c r="J53" s="3" t="str">
        <f>_xll.BDP($A53,J$2)</f>
        <v>B</v>
      </c>
      <c r="K53" t="str">
        <f>_xll.BDP($A53,K$2)</f>
        <v>POS</v>
      </c>
      <c r="L53" s="4" t="str">
        <f>_xll.BDP($A53,L$2)</f>
        <v>5/8/2026</v>
      </c>
    </row>
    <row r="54" spans="1:12" x14ac:dyDescent="0.25">
      <c r="A54" t="s">
        <v>6</v>
      </c>
      <c r="B54" t="str">
        <f>_xll.BDP($A54,B$2)</f>
        <v>ARGENTINA</v>
      </c>
      <c r="C54" t="s">
        <v>14</v>
      </c>
      <c r="D54" s="3" t="str">
        <f>_xll.BDP($A54,D$2)</f>
        <v>B3</v>
      </c>
      <c r="E54" t="str">
        <f>_xll.BDP($A54,E$2)</f>
        <v>POS</v>
      </c>
      <c r="F54" s="4" t="str">
        <f>_xll.BDP($A54,F$2)</f>
        <v>7/21/2026</v>
      </c>
      <c r="G54" s="3" t="str">
        <f>_xll.BDP($A54,G$2)</f>
        <v>B-</v>
      </c>
      <c r="H54" t="str">
        <f>_xll.BDP($A54,H$2)</f>
        <v>STABLE</v>
      </c>
      <c r="I54" s="4" t="str">
        <f>_xll.BDP($A54,I$2)</f>
        <v>6/10/2026</v>
      </c>
      <c r="J54" s="3" t="str">
        <f>_xll.BDP($A54,J$2)</f>
        <v>B-u</v>
      </c>
      <c r="K54" t="str">
        <f>_xll.BDP($A54,K$2)</f>
        <v>STABLE</v>
      </c>
      <c r="L54" s="4" t="str">
        <f>_xll.BDP($A54,L$2)</f>
        <v>5/5/2026</v>
      </c>
    </row>
    <row r="55" spans="1:12" x14ac:dyDescent="0.25">
      <c r="A55" t="s">
        <v>72</v>
      </c>
      <c r="B55" t="str">
        <f>_xll.BDP($A55,B$2)</f>
        <v>ECUADOR</v>
      </c>
      <c r="C55" t="s">
        <v>27</v>
      </c>
      <c r="D55" s="3" t="str">
        <f>_xll.BDP($A55,D$2)</f>
        <v>Caa1</v>
      </c>
      <c r="E55" t="str">
        <f>_xll.BDP($A55,E$2)</f>
        <v>STABLE</v>
      </c>
      <c r="F55" s="4" t="str">
        <f>_xll.BDP($A55,F$2)</f>
        <v>1/26/2026</v>
      </c>
      <c r="G55" s="3" t="str">
        <f>_xll.BDP($A55,G$2)</f>
        <v>B</v>
      </c>
      <c r="H55" t="str">
        <f>_xll.BDP($A55,H$2)</f>
        <v>STABLE</v>
      </c>
      <c r="I55" s="4" t="str">
        <f>_xll.BDP($A55,I$2)</f>
        <v>8/13/2026</v>
      </c>
      <c r="J55" s="3" t="str">
        <f>_xll.BDP($A55,J$2)</f>
        <v>B-</v>
      </c>
      <c r="K55" t="str">
        <f>_xll.BDP($A55,K$2)</f>
        <v>STABLE</v>
      </c>
      <c r="L55" s="4" t="str">
        <f>_xll.BDP($A55,L$2)</f>
        <v>2/25/2026</v>
      </c>
    </row>
    <row r="56" spans="1:12" x14ac:dyDescent="0.25">
      <c r="A56" t="s">
        <v>291</v>
      </c>
      <c r="B56" t="str">
        <f>_xll.BDP($A56,B$2)</f>
        <v>IRAQ</v>
      </c>
      <c r="C56" t="s">
        <v>292</v>
      </c>
      <c r="D56" s="3" t="str">
        <f>_xll.BDP($A56,D$2)</f>
        <v>Caa1</v>
      </c>
      <c r="E56" t="str">
        <f>_xll.BDP($A56,E$2)</f>
        <v>NEG</v>
      </c>
      <c r="F56" s="4" t="str">
        <f>_xll.BDP($A56,F$2)</f>
        <v>4/17/2026</v>
      </c>
      <c r="G56" s="3" t="str">
        <f>_xll.BDP($A56,G$2)</f>
        <v>B-</v>
      </c>
      <c r="H56" t="str">
        <f>_xll.BDP($A56,H$2)</f>
        <v>NEG</v>
      </c>
      <c r="I56" s="4" t="str">
        <f>_xll.BDP($A56,I$2)</f>
        <v>6/12/2026</v>
      </c>
      <c r="J56" s="3" t="str">
        <f>_xll.BDP($A56,J$2)</f>
        <v>B-</v>
      </c>
      <c r="K56" t="str">
        <f>_xll.BDP($A56,K$2)</f>
        <v>STABLE</v>
      </c>
      <c r="L56" s="4" t="str">
        <f>_xll.BDP($A56,L$2)</f>
        <v>3/24/2021</v>
      </c>
    </row>
    <row r="57" spans="1:12" x14ac:dyDescent="0.25">
      <c r="A57" t="s">
        <v>95</v>
      </c>
      <c r="B57" t="str">
        <f>_xll.BDP($A57,B$2)</f>
        <v>PAKISTAN</v>
      </c>
      <c r="C57" t="s">
        <v>47</v>
      </c>
      <c r="D57" s="3" t="str">
        <f>_xll.BDP($A57,D$2)</f>
        <v>Caa1</v>
      </c>
      <c r="E57" t="str">
        <f>_xll.BDP($A57,E$2)</f>
        <v>STABLE</v>
      </c>
      <c r="F57" s="4" t="str">
        <f>_xll.BDP($A57,F$2)</f>
        <v>8/13/2025</v>
      </c>
      <c r="G57" s="3" t="str">
        <f>_xll.BDP($A57,G$2)</f>
        <v>B</v>
      </c>
      <c r="H57" t="str">
        <f>_xll.BDP($A57,H$2)</f>
        <v>STABLE</v>
      </c>
      <c r="I57" s="4" t="str">
        <f>_xll.BDP($A57,I$2)</f>
        <v>7/22/2026</v>
      </c>
      <c r="J57" s="3" t="str">
        <f>_xll.BDP($A57,J$2)</f>
        <v>B-</v>
      </c>
      <c r="K57" t="str">
        <f>_xll.BDP($A57,K$2)</f>
        <v>STABLE</v>
      </c>
      <c r="L57" s="4" t="str">
        <f>_xll.BDP($A57,L$2)</f>
        <v>4/15/2025</v>
      </c>
    </row>
    <row r="58" spans="1:12" x14ac:dyDescent="0.25">
      <c r="A58" t="s">
        <v>103</v>
      </c>
      <c r="B58" t="str">
        <f>_xll.BDP($A58,B$2)</f>
        <v>SENEGAL</v>
      </c>
      <c r="C58" t="s">
        <v>55</v>
      </c>
      <c r="D58" t="str">
        <f>_xll.BDP($A58,D$2)</f>
        <v>Caa1</v>
      </c>
      <c r="E58" t="str">
        <f>_xll.BDP($A58,E$2)</f>
        <v>NEG</v>
      </c>
      <c r="F58" t="str">
        <f>_xll.BDP($A58,F$2)</f>
        <v>10/10/2025</v>
      </c>
      <c r="G58" t="str">
        <f>_xll.BDP($A58,G$2)</f>
        <v>CCC+</v>
      </c>
      <c r="H58" t="str">
        <f>_xll.BDP($A58,H$2)</f>
        <v>NEG</v>
      </c>
      <c r="I58" t="str">
        <f>_xll.BDP($A58,I$2)</f>
        <v>3/27/2026</v>
      </c>
      <c r="J58" t="str">
        <f>_xll.BDP($A58,J$2)</f>
        <v>#N/A N/A</v>
      </c>
      <c r="K58" t="str">
        <f>_xll.BDP($A58,K$2)</f>
        <v>#N/A N/A</v>
      </c>
      <c r="L58" t="str">
        <f>_xll.BDP($A58,L$2)</f>
        <v>#N/A N/A</v>
      </c>
    </row>
    <row r="59" spans="1:12" x14ac:dyDescent="0.25">
      <c r="A59" t="s">
        <v>106</v>
      </c>
      <c r="B59" t="str">
        <f>_xll.BDP($A59,B$2)</f>
        <v>SRI LANKA</v>
      </c>
      <c r="C59" t="s">
        <v>58</v>
      </c>
      <c r="D59" s="3" t="str">
        <f>_xll.BDP($A59,D$2)</f>
        <v>Caa1</v>
      </c>
      <c r="E59" t="str">
        <f>_xll.BDP($A59,E$2)</f>
        <v>STABLE</v>
      </c>
      <c r="F59" s="4" t="str">
        <f>_xll.BDP($A59,F$2)</f>
        <v>12/23/2024</v>
      </c>
      <c r="G59" s="3" t="str">
        <f>_xll.BDP($A59,G$2)</f>
        <v>CCC+</v>
      </c>
      <c r="H59" t="str">
        <f>_xll.BDP($A59,H$2)</f>
        <v>STABLE</v>
      </c>
      <c r="I59" s="4" t="str">
        <f>_xll.BDP($A59,I$2)</f>
        <v>9/19/2025</v>
      </c>
      <c r="J59" s="3" t="str">
        <f>_xll.BDP($A59,J$2)</f>
        <v>CCC+</v>
      </c>
      <c r="K59" t="str">
        <f>_xll.BDP($A59,K$2)</f>
        <v>#N/A N/A</v>
      </c>
      <c r="L59" s="4" t="str">
        <f>_xll.BDP($A59,L$2)</f>
        <v>#N/A N/A</v>
      </c>
    </row>
    <row r="60" spans="1:12" x14ac:dyDescent="0.25">
      <c r="A60" t="s">
        <v>285</v>
      </c>
      <c r="B60" t="str">
        <f>_xll.BDP($A60,B$2)</f>
        <v>SURINAME</v>
      </c>
      <c r="C60" t="s">
        <v>276</v>
      </c>
      <c r="D60" s="3" t="str">
        <f>_xll.BDP($A60,D$2)</f>
        <v>Caa1</v>
      </c>
      <c r="E60" t="str">
        <f>_xll.BDP($A60,E$2)</f>
        <v>POS</v>
      </c>
      <c r="F60" s="4" t="str">
        <f>_xll.BDP($A60,F$2)</f>
        <v>10/23/2025</v>
      </c>
      <c r="G60" s="3" t="str">
        <f>_xll.BDP($A60,G$2)</f>
        <v>CCC+</v>
      </c>
      <c r="H60" t="str">
        <f>_xll.BDP($A60,H$2)</f>
        <v>STABLE</v>
      </c>
      <c r="I60" s="4" t="str">
        <f>_xll.BDP($A60,I$2)</f>
        <v>12/6/2023</v>
      </c>
      <c r="J60" s="3" t="str">
        <f>_xll.BDP($A60,J$2)</f>
        <v>WD</v>
      </c>
      <c r="K60" t="str">
        <f>_xll.BDP($A60,K$2)</f>
        <v>#N/A N/A</v>
      </c>
      <c r="L60" s="4" t="str">
        <f>_xll.BDP($A60,L$2)</f>
        <v>#N/A N/A</v>
      </c>
    </row>
    <row r="61" spans="1:12" x14ac:dyDescent="0.25">
      <c r="A61" t="s">
        <v>111</v>
      </c>
      <c r="B61" t="str">
        <f>_xll.BDP($A61,B$2)</f>
        <v>Zambia</v>
      </c>
      <c r="C61" t="s">
        <v>63</v>
      </c>
      <c r="D61" s="3" t="str">
        <f>_xll.BDP($A61,D$2)</f>
        <v>Caa2</v>
      </c>
      <c r="E61" t="str">
        <f>_xll.BDP($A61,E$2)</f>
        <v>POS</v>
      </c>
      <c r="F61" s="4" t="str">
        <f>_xll.BDP($A61,F$2)</f>
        <v>4/11/2025</v>
      </c>
      <c r="G61" s="3" t="str">
        <f>_xll.BDP($A61,G$2)</f>
        <v>CCC+</v>
      </c>
      <c r="H61" t="str">
        <f>_xll.BDP($A61,H$2)</f>
        <v>STABLE</v>
      </c>
      <c r="I61" s="4" t="str">
        <f>_xll.BDP($A61,I$2)</f>
        <v>11/21/2025</v>
      </c>
      <c r="J61" s="3" t="str">
        <f>_xll.BDP($A61,J$2)</f>
        <v>B-</v>
      </c>
      <c r="K61" t="str">
        <f>_xll.BDP($A61,K$2)</f>
        <v>STABLE</v>
      </c>
      <c r="L61" s="4" t="str">
        <f>_xll.BDP($A61,L$2)</f>
        <v>11/28/2025</v>
      </c>
    </row>
    <row r="62" spans="1:12" x14ac:dyDescent="0.25">
      <c r="A62" t="s">
        <v>65</v>
      </c>
      <c r="B62" t="str">
        <f>_xll.BDP($A62,B$2)</f>
        <v>BOLIVIA</v>
      </c>
      <c r="C62" t="s">
        <v>21</v>
      </c>
      <c r="D62" s="3" t="str">
        <f>_xll.BDP($A62,D$2)</f>
        <v>Caa3</v>
      </c>
      <c r="E62" t="str">
        <f>_xll.BDP($A62,E$2)</f>
        <v>POS</v>
      </c>
      <c r="F62" s="4" t="str">
        <f>_xll.BDP($A62,F$2)</f>
        <v>3/18/2026</v>
      </c>
      <c r="G62" s="3" t="str">
        <f>_xll.BDP($A62,G$2)</f>
        <v>CCC+</v>
      </c>
      <c r="H62" t="str">
        <f>_xll.BDP($A62,H$2)</f>
        <v>STABLE</v>
      </c>
      <c r="I62" s="4" t="str">
        <f>_xll.BDP($A62,I$2)</f>
        <v>3/23/2026</v>
      </c>
      <c r="J62" s="3" t="str">
        <f>_xll.BDP($A62,J$2)</f>
        <v>CCC</v>
      </c>
      <c r="K62" t="str">
        <f>_xll.BDP($A62,K$2)</f>
        <v>#N/A N/A</v>
      </c>
      <c r="L62" s="4" t="str">
        <f>_xll.BDP($A62,L$2)</f>
        <v>#N/A N/A</v>
      </c>
    </row>
    <row r="63" spans="1:12" x14ac:dyDescent="0.25">
      <c r="A63" t="s">
        <v>300</v>
      </c>
      <c r="B63" t="str">
        <f>_xll.BDP($A63,B$2)</f>
        <v>MOZAMBIQUE</v>
      </c>
      <c r="C63" t="s">
        <v>301</v>
      </c>
      <c r="D63" t="str">
        <f>_xll.BDP($A63,D$2)</f>
        <v>Caa2u</v>
      </c>
      <c r="E63" t="str">
        <f>_xll.BDP($A63,E$2)</f>
        <v>STABLE</v>
      </c>
      <c r="F63" t="str">
        <f>_xll.BDP($A63,F$2)</f>
        <v>3/28/2025</v>
      </c>
      <c r="G63" t="str">
        <f>_xll.BDP($A63,G$2)</f>
        <v>CCC+</v>
      </c>
      <c r="H63" t="str">
        <f>_xll.BDP($A63,H$2)</f>
        <v>#N/A N/A</v>
      </c>
      <c r="I63" t="str">
        <f>_xll.BDP($A63,I$2)</f>
        <v>#N/A N/A</v>
      </c>
      <c r="J63" t="str">
        <f>_xll.BDP($A63,J$2)</f>
        <v>CCu</v>
      </c>
      <c r="K63" t="str">
        <f>_xll.BDP($A63,K$2)</f>
        <v>#N/A N/A</v>
      </c>
      <c r="L63" t="str">
        <f>_xll.BDP($A63,L$2)</f>
        <v>#N/A N/A</v>
      </c>
    </row>
    <row r="64" spans="1:12" x14ac:dyDescent="0.25">
      <c r="A64" t="s">
        <v>108</v>
      </c>
      <c r="B64" t="str">
        <f>_xll.BDP($A64,B$2)</f>
        <v>UKRAINE</v>
      </c>
      <c r="C64" t="s">
        <v>60</v>
      </c>
      <c r="D64" t="str">
        <f>_xll.BDP($A64,D$2)</f>
        <v>Ca</v>
      </c>
      <c r="E64" t="str">
        <f>_xll.BDP($A64,E$2)</f>
        <v>STABLE</v>
      </c>
      <c r="F64" t="str">
        <f>_xll.BDP($A64,F$2)</f>
        <v>2/10/2023</v>
      </c>
      <c r="G64" t="str">
        <f>_xll.BDP($A64,G$2)</f>
        <v>CCC+</v>
      </c>
      <c r="H64" t="str">
        <f>_xll.BDP($A64,H$2)</f>
        <v>STABLE</v>
      </c>
      <c r="I64" t="str">
        <f>_xll.BDP($A64,I$2)</f>
        <v>1/22/2026</v>
      </c>
      <c r="J64" t="str">
        <f>_xll.BDP($A64,J$2)</f>
        <v>CCC</v>
      </c>
      <c r="K64" t="str">
        <f>_xll.BDP($A64,K$2)</f>
        <v>#N/A N/A</v>
      </c>
      <c r="L64" t="str">
        <f>_xll.BDP($A64,L$2)</f>
        <v>#N/A N/A</v>
      </c>
    </row>
    <row r="65" spans="1:12" x14ac:dyDescent="0.25">
      <c r="A65" t="s">
        <v>75</v>
      </c>
      <c r="B65" t="str">
        <f>_xll.BDP($A65,B$2)</f>
        <v>GABON</v>
      </c>
      <c r="C65" t="s">
        <v>30</v>
      </c>
      <c r="D65" t="str">
        <f>_xll.BDP($A65,D$2)</f>
        <v>Caa2</v>
      </c>
      <c r="E65" t="str">
        <f>_xll.BDP($A65,E$2)</f>
        <v>NEG</v>
      </c>
      <c r="F65" t="str">
        <f>_xll.BDP($A65,F$2)</f>
        <v>6/24/2026</v>
      </c>
      <c r="G65" t="str">
        <f>_xll.BDP($A65,G$2)</f>
        <v>NR</v>
      </c>
      <c r="H65" t="str">
        <f>_xll.BDP($A65,H$2)</f>
        <v>#N/A N/A</v>
      </c>
      <c r="I65" t="str">
        <f>_xll.BDP($A65,I$2)</f>
        <v>#N/A N/A</v>
      </c>
      <c r="J65" t="str">
        <f>_xll.BDP($A65,J$2)</f>
        <v>CCC-</v>
      </c>
      <c r="K65" t="str">
        <f>_xll.BDP($A65,K$2)</f>
        <v>#N/A N/A</v>
      </c>
      <c r="L65" t="str">
        <f>_xll.BDP($A65,L$2)</f>
        <v>#N/A N/A</v>
      </c>
    </row>
    <row r="66" spans="1:12" x14ac:dyDescent="0.25">
      <c r="A66" t="s">
        <v>299</v>
      </c>
      <c r="B66" t="str">
        <f>_xll.BDP($A66,B$2)</f>
        <v>ETHIOPIA</v>
      </c>
      <c r="C66" t="s">
        <v>282</v>
      </c>
      <c r="D66" t="str">
        <f>_xll.BDP($A66,D$2)</f>
        <v>Caa3</v>
      </c>
      <c r="E66" t="str">
        <f>_xll.BDP($A66,E$2)</f>
        <v>STABLE</v>
      </c>
      <c r="F66" t="str">
        <f>_xll.BDP($A66,F$2)</f>
        <v>9/15/2023</v>
      </c>
      <c r="G66" t="str">
        <f>_xll.BDP($A66,G$2)</f>
        <v>SD</v>
      </c>
      <c r="H66" t="str">
        <f>_xll.BDP($A66,H$2)</f>
        <v>STABLE</v>
      </c>
      <c r="I66" t="str">
        <f>_xll.BDP($A66,I$2)</f>
        <v>9/20/2024</v>
      </c>
      <c r="J66" t="str">
        <f>_xll.BDP($A66,J$2)</f>
        <v>RD</v>
      </c>
      <c r="K66" t="str">
        <f>_xll.BDP($A66,K$2)</f>
        <v>#N/A N/A</v>
      </c>
      <c r="L66" t="str">
        <f>_xll.BDP($A66,L$2)</f>
        <v>#N/A N/A</v>
      </c>
    </row>
  </sheetData>
  <mergeCells count="3">
    <mergeCell ref="D1:F1"/>
    <mergeCell ref="G1:I1"/>
    <mergeCell ref="J1:L1"/>
  </mergeCells>
  <conditionalFormatting sqref="N2:O2">
    <cfRule type="containsErrors" dxfId="0" priority="2">
      <formula>ISERROR(N2)</formula>
    </cfRule>
  </conditionalFormatting>
  <pageMargins left="0.7" right="0.7" top="0.75" bottom="0.75" header="0.3" footer="0.3"/>
  <pageSetup orientation="portrait" r:id="rId1"/>
  <headerFooter>
    <oddFooter>&amp;C_x000D_&amp;1#&amp;"Aptos"&amp;8&amp;K000000 INTERNAL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48CB87-2A86-4D2F-9BA0-2F57B0973715}">
  <dimension ref="A1:H64"/>
  <sheetViews>
    <sheetView workbookViewId="0">
      <pane xSplit="1" ySplit="1" topLeftCell="B2" activePane="bottomRight" state="frozen"/>
      <selection pane="topRight" activeCell="C1" sqref="C1"/>
      <selection pane="bottomLeft" activeCell="A2" sqref="A2"/>
      <selection pane="bottomRight" activeCell="C3" sqref="C3"/>
    </sheetView>
  </sheetViews>
  <sheetFormatPr defaultRowHeight="15" x14ac:dyDescent="0.25"/>
  <cols>
    <col min="1" max="1" width="12.7109375" bestFit="1" customWidth="1"/>
    <col min="2" max="2" width="18.42578125" bestFit="1" customWidth="1"/>
    <col min="3" max="3" width="18.42578125" customWidth="1"/>
    <col min="4" max="4" width="18.42578125" style="9" customWidth="1"/>
    <col min="5" max="5" width="15" bestFit="1" customWidth="1"/>
    <col min="6" max="6" width="14.28515625" style="12" customWidth="1"/>
    <col min="7" max="7" width="16.140625" customWidth="1"/>
    <col min="8" max="8" width="15.42578125" style="13" customWidth="1"/>
  </cols>
  <sheetData>
    <row r="1" spans="1:6" x14ac:dyDescent="0.25">
      <c r="A1" t="s">
        <v>613</v>
      </c>
      <c r="B1" t="s">
        <v>612</v>
      </c>
      <c r="C1" t="s">
        <v>625</v>
      </c>
      <c r="D1" s="9" t="s">
        <v>212</v>
      </c>
      <c r="E1" t="s">
        <v>629</v>
      </c>
      <c r="F1" s="12" t="s">
        <v>306</v>
      </c>
    </row>
    <row r="2" spans="1:6" x14ac:dyDescent="0.25">
      <c r="A2" t="str">
        <f>VLOOKUP(B2,ratings_map!$B$3:$C$66,2,FALSE)</f>
        <v>ARG</v>
      </c>
      <c r="B2" s="10" t="s">
        <v>150</v>
      </c>
      <c r="C2" s="10" t="s">
        <v>209</v>
      </c>
      <c r="D2" s="11">
        <f>_xll.BDP(C2,$D$1)</f>
        <v>548.05999999999995</v>
      </c>
      <c r="E2" t="s">
        <v>305</v>
      </c>
      <c r="F2" s="12">
        <f>_xll.BDP($E2,F$1)</f>
        <v>4.431</v>
      </c>
    </row>
    <row r="3" spans="1:6" x14ac:dyDescent="0.25">
      <c r="A3" t="str">
        <f>VLOOKUP(B3,ratings_map!$B$3:$C$66,2,FALSE)</f>
        <v>BAR</v>
      </c>
      <c r="B3" s="10" t="s">
        <v>151</v>
      </c>
      <c r="C3" s="10" t="s">
        <v>272</v>
      </c>
      <c r="D3" s="11">
        <f>_xll.BDP(C3,$D$1)</f>
        <v>256.51</v>
      </c>
      <c r="E3" t="s">
        <v>365</v>
      </c>
      <c r="F3" s="12">
        <f>_xll.BDP($E3,F$1)</f>
        <v>6.2640000000000002</v>
      </c>
    </row>
    <row r="4" spans="1:6" x14ac:dyDescent="0.25">
      <c r="A4" t="str">
        <f>VLOOKUP(B4,ratings_map!$B$3:$C$66,2,FALSE)</f>
        <v>BOL</v>
      </c>
      <c r="B4" s="10" t="s">
        <v>152</v>
      </c>
      <c r="C4" s="10" t="s">
        <v>210</v>
      </c>
      <c r="D4" s="11">
        <f>_xll.BDP(C4,$D$1)</f>
        <v>433.89</v>
      </c>
      <c r="E4" t="s">
        <v>307</v>
      </c>
      <c r="F4" s="12">
        <f>_xll.BDP($E4,F$1)</f>
        <v>7.2930000000000001</v>
      </c>
    </row>
    <row r="5" spans="1:6" x14ac:dyDescent="0.25">
      <c r="A5" t="str">
        <f>VLOOKUP(B5,ratings_map!$B$3:$C$66,2,FALSE)</f>
        <v>BRZ</v>
      </c>
      <c r="B5" s="10" t="s">
        <v>153</v>
      </c>
      <c r="C5" s="10" t="s">
        <v>211</v>
      </c>
      <c r="D5" s="11">
        <f>_xll.BDP(C5,$D$1)</f>
        <v>238.46</v>
      </c>
      <c r="E5" t="s">
        <v>308</v>
      </c>
      <c r="F5" s="12">
        <f>_xll.BDP($E5,F$1)</f>
        <v>6.0149999999999997</v>
      </c>
    </row>
    <row r="6" spans="1:6" x14ac:dyDescent="0.25">
      <c r="A6" t="str">
        <f>VLOOKUP(B6,ratings_map!$B$3:$C$66,2,FALSE)</f>
        <v>CHL</v>
      </c>
      <c r="B6" s="10" t="s">
        <v>154</v>
      </c>
      <c r="C6" s="10" t="s">
        <v>213</v>
      </c>
      <c r="D6" s="11">
        <f>_xll.BDP(C6,$D$1)</f>
        <v>160.9</v>
      </c>
      <c r="E6" t="s">
        <v>309</v>
      </c>
      <c r="F6" s="12">
        <f>_xll.BDP($E6,F$1)</f>
        <v>4.9580000000000002</v>
      </c>
    </row>
    <row r="7" spans="1:6" x14ac:dyDescent="0.25">
      <c r="A7" t="str">
        <f>VLOOKUP(B7,ratings_map!$B$3:$C$66,2,FALSE)</f>
        <v>COL</v>
      </c>
      <c r="B7" s="10" t="s">
        <v>155</v>
      </c>
      <c r="C7" s="10" t="s">
        <v>234</v>
      </c>
      <c r="D7" s="11">
        <f>_xll.BDP(C7,$D$1)</f>
        <v>246.77</v>
      </c>
      <c r="E7" t="s">
        <v>310</v>
      </c>
      <c r="F7" s="12">
        <f>_xll.BDP($E7,F$1)</f>
        <v>6.0330000000000004</v>
      </c>
    </row>
    <row r="8" spans="1:6" x14ac:dyDescent="0.25">
      <c r="A8" t="str">
        <f>VLOOKUP(B8,ratings_map!$B$3:$C$66,2,FALSE)</f>
        <v>CR</v>
      </c>
      <c r="B8" s="10" t="s">
        <v>156</v>
      </c>
      <c r="C8" s="10" t="s">
        <v>235</v>
      </c>
      <c r="D8" s="11">
        <f>_xll.BDP(C8,$D$1)</f>
        <v>201.01</v>
      </c>
      <c r="E8" t="s">
        <v>311</v>
      </c>
      <c r="F8" s="12">
        <f>_xll.BDP($E8,F$1)</f>
        <v>6.2919999999999998</v>
      </c>
    </row>
    <row r="9" spans="1:6" x14ac:dyDescent="0.25">
      <c r="A9" t="str">
        <f>VLOOKUP(B9,ratings_map!$B$3:$C$66,2,FALSE)</f>
        <v>DR</v>
      </c>
      <c r="B9" s="10" t="s">
        <v>283</v>
      </c>
      <c r="C9" s="10" t="s">
        <v>238</v>
      </c>
      <c r="D9" s="11">
        <f>_xll.BDP(C9,$D$1)</f>
        <v>226.24</v>
      </c>
      <c r="E9" t="s">
        <v>312</v>
      </c>
      <c r="F9" s="12">
        <f>_xll.BDP($E9,F$1)</f>
        <v>6.0970000000000004</v>
      </c>
    </row>
    <row r="10" spans="1:6" x14ac:dyDescent="0.25">
      <c r="A10" t="str">
        <f>VLOOKUP(B10,ratings_map!$B$3:$C$66,2,FALSE)</f>
        <v>ECU</v>
      </c>
      <c r="B10" s="10" t="s">
        <v>157</v>
      </c>
      <c r="C10" s="10" t="s">
        <v>214</v>
      </c>
      <c r="D10" s="11">
        <f>_xll.BDP(C10,$D$1)</f>
        <v>474.23</v>
      </c>
      <c r="E10" t="s">
        <v>313</v>
      </c>
      <c r="F10" s="12">
        <f>_xll.BDP($E10,F$1)</f>
        <v>7.5529999999999999</v>
      </c>
    </row>
    <row r="11" spans="1:6" x14ac:dyDescent="0.25">
      <c r="A11" t="str">
        <f>VLOOKUP(B11,ratings_map!$B$3:$C$66,2,FALSE)</f>
        <v>ESV</v>
      </c>
      <c r="B11" s="10" t="s">
        <v>158</v>
      </c>
      <c r="C11" s="10" t="s">
        <v>239</v>
      </c>
      <c r="D11" s="11">
        <f>_xll.BDP(C11,$D$1)</f>
        <v>337.12</v>
      </c>
      <c r="E11" t="s">
        <v>314</v>
      </c>
      <c r="F11" s="12">
        <f>_xll.BDP($E11,F$1)</f>
        <v>7.91</v>
      </c>
    </row>
    <row r="12" spans="1:6" x14ac:dyDescent="0.25">
      <c r="A12" t="str">
        <f>VLOOKUP(B12,ratings_map!$B$3:$C$66,2,FALSE)</f>
        <v>GUA</v>
      </c>
      <c r="B12" s="10" t="s">
        <v>159</v>
      </c>
      <c r="C12" s="10" t="s">
        <v>240</v>
      </c>
      <c r="D12" s="11">
        <f>_xll.BDP(C12,$D$1)</f>
        <v>176.14</v>
      </c>
      <c r="E12" t="s">
        <v>315</v>
      </c>
      <c r="F12" s="12">
        <f>_xll.BDP($E12,F$1)</f>
        <v>5.7320000000000002</v>
      </c>
    </row>
    <row r="13" spans="1:6" x14ac:dyDescent="0.25">
      <c r="A13" t="str">
        <f>VLOOKUP(B13,ratings_map!$B$3:$C$66,2,FALSE)</f>
        <v>HON</v>
      </c>
      <c r="B13" s="10" t="s">
        <v>160</v>
      </c>
      <c r="C13" s="10" t="s">
        <v>241</v>
      </c>
      <c r="D13" s="11">
        <f>_xll.BDP(C13,$D$1)</f>
        <v>201.15</v>
      </c>
      <c r="E13" t="s">
        <v>316</v>
      </c>
      <c r="F13" s="12">
        <f>_xll.BDP($E13,F$1)</f>
        <v>6.601</v>
      </c>
    </row>
    <row r="14" spans="1:6" x14ac:dyDescent="0.25">
      <c r="A14" t="str">
        <f>VLOOKUP(B14,ratings_map!$B$3:$C$66,2,FALSE)</f>
        <v>JAM</v>
      </c>
      <c r="B14" s="10" t="s">
        <v>161</v>
      </c>
      <c r="C14" s="10" t="s">
        <v>242</v>
      </c>
      <c r="D14" s="11">
        <f>_xll.BDP(C14,$D$1)</f>
        <v>181.05</v>
      </c>
      <c r="E14" t="s">
        <v>317</v>
      </c>
      <c r="F14" s="12">
        <f>_xll.BDP($E14,F$1)</f>
        <v>6.6129999999999995</v>
      </c>
    </row>
    <row r="15" spans="1:6" x14ac:dyDescent="0.25">
      <c r="A15" t="str">
        <f>VLOOKUP(B15,ratings_map!$B$3:$C$66,2,FALSE)</f>
        <v>MEX</v>
      </c>
      <c r="B15" s="10" t="s">
        <v>162</v>
      </c>
      <c r="C15" s="10" t="s">
        <v>243</v>
      </c>
      <c r="D15" s="11">
        <f>_xll.BDP(C15,$D$1)</f>
        <v>261.93</v>
      </c>
      <c r="E15" t="s">
        <v>318</v>
      </c>
      <c r="F15" s="12">
        <f>_xll.BDP($E15,F$1)</f>
        <v>6.2750000000000004</v>
      </c>
    </row>
    <row r="16" spans="1:6" x14ac:dyDescent="0.25">
      <c r="A16" t="str">
        <f>VLOOKUP(B16,ratings_map!$B$3:$C$66,2,FALSE)</f>
        <v>PAN</v>
      </c>
      <c r="B16" s="10" t="s">
        <v>163</v>
      </c>
      <c r="C16" s="10" t="s">
        <v>244</v>
      </c>
      <c r="D16" s="11">
        <f>_xll.BDP(C16,$D$1)</f>
        <v>185.56</v>
      </c>
      <c r="E16" t="s">
        <v>319</v>
      </c>
      <c r="F16" s="12">
        <f>_xll.BDP($E16,F$1)</f>
        <v>5.4560000000000004</v>
      </c>
    </row>
    <row r="17" spans="1:6" x14ac:dyDescent="0.25">
      <c r="A17" t="str">
        <f>VLOOKUP(B17,ratings_map!$B$3:$C$66,2,FALSE)</f>
        <v>PAR</v>
      </c>
      <c r="B17" s="10" t="s">
        <v>164</v>
      </c>
      <c r="C17" s="10" t="s">
        <v>245</v>
      </c>
      <c r="D17" s="11">
        <f>_xll.BDP(C17,$D$1)</f>
        <v>184.97</v>
      </c>
      <c r="E17" t="s">
        <v>320</v>
      </c>
      <c r="F17" s="12">
        <f>_xll.BDP($E17,F$1)</f>
        <v>5.5140000000000002</v>
      </c>
    </row>
    <row r="18" spans="1:6" x14ac:dyDescent="0.25">
      <c r="A18" t="str">
        <f>VLOOKUP(B18,ratings_map!$B$3:$C$66,2,FALSE)</f>
        <v>PER</v>
      </c>
      <c r="B18" s="10" t="s">
        <v>165</v>
      </c>
      <c r="C18" s="10" t="s">
        <v>216</v>
      </c>
      <c r="D18" s="11">
        <f>_xll.BDP(C18,$D$1)</f>
        <v>179.49</v>
      </c>
      <c r="E18" t="s">
        <v>321</v>
      </c>
      <c r="F18" s="12">
        <f>_xll.BDP($E18,F$1)</f>
        <v>5.3129999999999997</v>
      </c>
    </row>
    <row r="19" spans="1:6" x14ac:dyDescent="0.25">
      <c r="A19" t="str">
        <f>VLOOKUP(B19,ratings_map!$B$3:$C$66,2,FALSE)</f>
        <v>SUR</v>
      </c>
      <c r="B19" s="10" t="s">
        <v>166</v>
      </c>
      <c r="C19" s="10" t="s">
        <v>253</v>
      </c>
      <c r="D19" s="11">
        <f>_xll.BDP(C19,$D$1)</f>
        <v>293.464</v>
      </c>
      <c r="E19" t="s">
        <v>322</v>
      </c>
      <c r="F19" s="12">
        <f>_xll.BDP($E19,F$1)</f>
        <v>7.5609999999999999</v>
      </c>
    </row>
    <row r="20" spans="1:6" x14ac:dyDescent="0.25">
      <c r="A20" t="str">
        <f>VLOOKUP(B20,ratings_map!$B$3:$C$66,2,FALSE)</f>
        <v>T&amp;T</v>
      </c>
      <c r="B20" s="10" t="s">
        <v>287</v>
      </c>
      <c r="C20" s="10" t="s">
        <v>246</v>
      </c>
      <c r="D20" s="11">
        <f>_xll.BDP(C20,$D$1)</f>
        <v>209.31</v>
      </c>
      <c r="E20" t="s">
        <v>323</v>
      </c>
      <c r="F20" s="12">
        <f>_xll.BDP($E20,F$1)</f>
        <v>6.4630000000000001</v>
      </c>
    </row>
    <row r="21" spans="1:6" x14ac:dyDescent="0.25">
      <c r="A21" t="str">
        <f>VLOOKUP(B21,ratings_map!$B$3:$C$66,2,FALSE)</f>
        <v>URU</v>
      </c>
      <c r="B21" s="10" t="s">
        <v>167</v>
      </c>
      <c r="C21" s="10" t="s">
        <v>254</v>
      </c>
      <c r="D21" s="11">
        <f>_xll.BDP(C21,$D$1)</f>
        <v>138.28</v>
      </c>
      <c r="E21" t="s">
        <v>324</v>
      </c>
      <c r="F21" s="12">
        <f>_xll.BDP($E21,F$1)</f>
        <v>5.5</v>
      </c>
    </row>
    <row r="22" spans="1:6" x14ac:dyDescent="0.25">
      <c r="A22" t="str">
        <f>VLOOKUP(B22,ratings_map!$B$3:$C$66,2,FALSE)</f>
        <v>VEN</v>
      </c>
      <c r="B22" s="10" t="s">
        <v>168</v>
      </c>
      <c r="C22" s="10" t="s">
        <v>255</v>
      </c>
      <c r="D22" s="11">
        <f>_xll.BDP(C22,$D$1)</f>
        <v>6801.94</v>
      </c>
      <c r="E22" t="s">
        <v>325</v>
      </c>
      <c r="F22" s="12">
        <f>_xll.BDP($E22,F$1)</f>
        <v>15.901999999999999</v>
      </c>
    </row>
    <row r="23" spans="1:6" x14ac:dyDescent="0.25">
      <c r="A23" t="str">
        <f>VLOOKUP(B23,ratings_map!$B$3:$C$66,2,FALSE)</f>
        <v>CHI</v>
      </c>
      <c r="B23" s="10" t="s">
        <v>169</v>
      </c>
      <c r="C23" s="10" t="s">
        <v>237</v>
      </c>
      <c r="D23" s="11">
        <f>_xll.BDP(C23,$D$1)</f>
        <v>121.12</v>
      </c>
      <c r="E23" t="s">
        <v>356</v>
      </c>
      <c r="F23" s="12">
        <f>_xll.BDP($E23,F$1)</f>
        <v>3.6349999999999998</v>
      </c>
    </row>
    <row r="24" spans="1:6" x14ac:dyDescent="0.25">
      <c r="A24" t="str">
        <f>VLOOKUP(B24,ratings_map!$B$3:$C$66,2,FALSE)</f>
        <v>IND</v>
      </c>
      <c r="B24" s="10" t="s">
        <v>170</v>
      </c>
      <c r="C24" s="10" t="s">
        <v>218</v>
      </c>
      <c r="D24" s="11">
        <f>_xll.BDP(C24,$D$1)</f>
        <v>125.68</v>
      </c>
      <c r="E24" t="s">
        <v>357</v>
      </c>
      <c r="F24" s="12">
        <f>_xll.BDP($E24,F$1)</f>
        <v>4.431</v>
      </c>
    </row>
    <row r="25" spans="1:6" x14ac:dyDescent="0.25">
      <c r="A25" t="str">
        <f>VLOOKUP(B25,ratings_map!$B$3:$C$66,2,FALSE)</f>
        <v>IDO</v>
      </c>
      <c r="B25" s="10" t="s">
        <v>171</v>
      </c>
      <c r="C25" s="10" t="s">
        <v>247</v>
      </c>
      <c r="D25" s="11">
        <f>_xll.BDP(C25,$D$1)</f>
        <v>164.37</v>
      </c>
      <c r="E25" t="s">
        <v>358</v>
      </c>
      <c r="F25" s="12">
        <f>_xll.BDP($E25,F$1)</f>
        <v>5.0759999999999996</v>
      </c>
    </row>
    <row r="26" spans="1:6" x14ac:dyDescent="0.25">
      <c r="A26" t="str">
        <f>VLOOKUP(B26,ratings_map!$B$3:$C$66,2,FALSE)</f>
        <v>MAL</v>
      </c>
      <c r="B26" s="10" t="s">
        <v>172</v>
      </c>
      <c r="C26" s="10" t="s">
        <v>219</v>
      </c>
      <c r="D26" s="11">
        <f>_xll.BDP(C26,$D$1)</f>
        <v>123.5</v>
      </c>
      <c r="E26" t="s">
        <v>359</v>
      </c>
      <c r="F26" s="12">
        <f>_xll.BDP($E26,F$1)</f>
        <v>4.6559999999999997</v>
      </c>
    </row>
    <row r="27" spans="1:6" x14ac:dyDescent="0.25">
      <c r="A27" t="str">
        <f>VLOOKUP(B27,ratings_map!$B$3:$C$66,2,FALSE)</f>
        <v>MON</v>
      </c>
      <c r="B27" s="10" t="s">
        <v>173</v>
      </c>
      <c r="C27" s="10" t="s">
        <v>256</v>
      </c>
      <c r="D27" s="11">
        <f>_xll.BDP(C27,$D$1)</f>
        <v>216.86</v>
      </c>
      <c r="E27" t="s">
        <v>360</v>
      </c>
      <c r="F27" s="12">
        <f>_xll.BDP($E27,F$1)</f>
        <v>6.03</v>
      </c>
    </row>
    <row r="28" spans="1:6" x14ac:dyDescent="0.25">
      <c r="A28" t="str">
        <f>VLOOKUP(B28,ratings_map!$B$3:$C$66,2,FALSE)</f>
        <v>PAK</v>
      </c>
      <c r="B28" s="10" t="s">
        <v>174</v>
      </c>
      <c r="C28" s="10" t="s">
        <v>215</v>
      </c>
      <c r="D28" s="11">
        <f>_xll.BDP(C28,$D$1)</f>
        <v>370.06</v>
      </c>
      <c r="E28" t="s">
        <v>361</v>
      </c>
      <c r="F28" s="12">
        <f>_xll.BDP($E28,F$1)</f>
        <v>7.4</v>
      </c>
    </row>
    <row r="29" spans="1:6" x14ac:dyDescent="0.25">
      <c r="A29" t="str">
        <f>VLOOKUP(B29,ratings_map!$B$3:$C$66,2,FALSE)</f>
        <v>PAP</v>
      </c>
      <c r="B29" s="10" t="s">
        <v>290</v>
      </c>
      <c r="C29" s="10" t="s">
        <v>257</v>
      </c>
      <c r="D29" s="11">
        <f>_xll.BDP(C29,$D$1)</f>
        <v>171.55199999999999</v>
      </c>
      <c r="E29" t="s">
        <v>362</v>
      </c>
      <c r="F29" s="12">
        <f>_xll.BDP($E29,F$1)</f>
        <v>7.73</v>
      </c>
    </row>
    <row r="30" spans="1:6" x14ac:dyDescent="0.25">
      <c r="A30" t="str">
        <f>VLOOKUP(B30,ratings_map!$B$3:$C$66,2,FALSE)</f>
        <v>PHI</v>
      </c>
      <c r="B30" s="10" t="s">
        <v>175</v>
      </c>
      <c r="C30" s="10" t="s">
        <v>221</v>
      </c>
      <c r="D30" s="11">
        <f>_xll.BDP(C30,$D$1)</f>
        <v>146.69</v>
      </c>
      <c r="E30" t="s">
        <v>363</v>
      </c>
      <c r="F30" s="12">
        <f>_xll.BDP($E30,F$1)</f>
        <v>5.0860000000000003</v>
      </c>
    </row>
    <row r="31" spans="1:6" x14ac:dyDescent="0.25">
      <c r="A31" t="str">
        <f>VLOOKUP(B31,ratings_map!$B$3:$C$66,2,FALSE)</f>
        <v>SRL</v>
      </c>
      <c r="B31" s="10" t="s">
        <v>176</v>
      </c>
      <c r="C31" s="10" t="s">
        <v>252</v>
      </c>
      <c r="D31" s="11">
        <f>_xll.BDP(C31,$D$1)</f>
        <v>133.91</v>
      </c>
      <c r="E31" t="s">
        <v>364</v>
      </c>
      <c r="F31" s="12">
        <f>_xll.BDP($E31,F$1)</f>
        <v>3.5739999999999998</v>
      </c>
    </row>
    <row r="32" spans="1:6" x14ac:dyDescent="0.25">
      <c r="A32" t="str">
        <f>VLOOKUP(B32,ratings_map!$B$3:$C$66,2,FALSE)</f>
        <v>IRQ</v>
      </c>
      <c r="B32" s="10" t="s">
        <v>177</v>
      </c>
      <c r="C32" s="10" t="s">
        <v>248</v>
      </c>
      <c r="D32" s="11">
        <f>_xll.BDP(C32,$D$1)</f>
        <v>201.27</v>
      </c>
      <c r="E32" t="s">
        <v>336</v>
      </c>
      <c r="F32" s="12">
        <f>_xll.BDP($E32,F$1)</f>
        <v>5.7780000000000005</v>
      </c>
    </row>
    <row r="33" spans="1:6" x14ac:dyDescent="0.25">
      <c r="A33" t="str">
        <f>VLOOKUP(B33,ratings_map!$B$3:$C$66,2,FALSE)</f>
        <v>JOR</v>
      </c>
      <c r="B33" s="10" t="s">
        <v>178</v>
      </c>
      <c r="C33" s="10" t="s">
        <v>222</v>
      </c>
      <c r="D33" s="11">
        <f>_xll.BDP(C33,$D$1)</f>
        <v>251.6</v>
      </c>
      <c r="E33" t="s">
        <v>337</v>
      </c>
      <c r="F33" s="12">
        <f>_xll.BDP($E33,F$1)</f>
        <v>6.6970000000000001</v>
      </c>
    </row>
    <row r="34" spans="1:6" x14ac:dyDescent="0.25">
      <c r="A34" t="str">
        <f>VLOOKUP(B34,ratings_map!$B$3:$C$66,2,FALSE)</f>
        <v>LEB</v>
      </c>
      <c r="B34" s="10" t="s">
        <v>179</v>
      </c>
      <c r="C34" s="10" t="s">
        <v>223</v>
      </c>
      <c r="D34" s="11">
        <f>_xll.BDP(C34,$D$1)</f>
        <v>14639.85</v>
      </c>
      <c r="E34" t="s">
        <v>338</v>
      </c>
      <c r="F34" s="12">
        <f>_xll.BDP($E34,F$1)</f>
        <v>17.288</v>
      </c>
    </row>
    <row r="35" spans="1:6" x14ac:dyDescent="0.25">
      <c r="A35" t="str">
        <f>VLOOKUP(B35,ratings_map!$B$3:$C$66,2,FALSE)</f>
        <v>OMA</v>
      </c>
      <c r="B35" s="10" t="s">
        <v>180</v>
      </c>
      <c r="C35" s="10" t="s">
        <v>258</v>
      </c>
      <c r="D35" s="11">
        <f>_xll.BDP(C35,$D$1)</f>
        <v>163.095</v>
      </c>
      <c r="E35" t="s">
        <v>339</v>
      </c>
      <c r="F35" s="12">
        <f>_xll.BDP($E35,F$1)</f>
        <v>5.7489999999999997</v>
      </c>
    </row>
    <row r="36" spans="1:6" x14ac:dyDescent="0.25">
      <c r="A36" t="str">
        <f>VLOOKUP(B36,ratings_map!$B$3:$C$66,2,FALSE)</f>
        <v>UAE</v>
      </c>
      <c r="B36" s="10" t="s">
        <v>181</v>
      </c>
      <c r="C36" s="10" t="s">
        <v>259</v>
      </c>
      <c r="D36" s="11">
        <f>_xll.BDP(C36,$D$1)</f>
        <v>140.762</v>
      </c>
      <c r="E36" t="s">
        <v>353</v>
      </c>
      <c r="F36" s="12">
        <f>_xll.BDP($E36,F$1)</f>
        <v>4.4589999999999996</v>
      </c>
    </row>
    <row r="37" spans="1:6" x14ac:dyDescent="0.25">
      <c r="A37" t="str">
        <f>VLOOKUP(B37,ratings_map!$B$3:$C$66,2,FALSE)</f>
        <v>BAH</v>
      </c>
      <c r="B37" s="10" t="s">
        <v>182</v>
      </c>
      <c r="C37" s="10" t="s">
        <v>260</v>
      </c>
      <c r="D37" s="11">
        <f>_xll.BDP(C37,$D$1)</f>
        <v>317.12400000000002</v>
      </c>
      <c r="E37" t="s">
        <v>354</v>
      </c>
      <c r="F37" s="12">
        <f>_xll.BDP($E37,F$1)</f>
        <v>6.44</v>
      </c>
    </row>
    <row r="38" spans="1:6" x14ac:dyDescent="0.25">
      <c r="A38" t="str">
        <f>VLOOKUP(B38,ratings_map!$B$3:$C$66,2,FALSE)</f>
        <v>KSA</v>
      </c>
      <c r="B38" s="10" t="s">
        <v>183</v>
      </c>
      <c r="C38" s="10" t="s">
        <v>261</v>
      </c>
      <c r="D38" s="11">
        <f>_xll.BDP(C38,$D$1)</f>
        <v>153.77199999999999</v>
      </c>
      <c r="E38" t="s">
        <v>355</v>
      </c>
      <c r="F38" s="12">
        <f>_xll.BDP($E38,F$1)</f>
        <v>4.9850000000000003</v>
      </c>
    </row>
    <row r="39" spans="1:6" x14ac:dyDescent="0.25">
      <c r="A39" t="str">
        <f>VLOOKUP(B39,ratings_map!$B$3:$C$66,2,FALSE)</f>
        <v>ARM</v>
      </c>
      <c r="B39" s="10" t="s">
        <v>184</v>
      </c>
      <c r="C39" s="10" t="s">
        <v>262</v>
      </c>
      <c r="D39" s="11">
        <f>_xll.BDP(C39,$D$1)</f>
        <v>167.93799999999999</v>
      </c>
      <c r="E39" t="s">
        <v>326</v>
      </c>
      <c r="F39" s="12">
        <f>_xll.BDP($E39,F$1)</f>
        <v>4.9030000000000005</v>
      </c>
    </row>
    <row r="40" spans="1:6" x14ac:dyDescent="0.25">
      <c r="A40" t="str">
        <f>VLOOKUP(B40,ratings_map!$B$3:$C$66,2,FALSE)</f>
        <v>AZE</v>
      </c>
      <c r="B40" s="10" t="s">
        <v>185</v>
      </c>
      <c r="C40" s="10" t="s">
        <v>225</v>
      </c>
      <c r="D40" s="11">
        <f>_xll.BDP(C40,$D$1)</f>
        <v>92.26</v>
      </c>
      <c r="E40" t="s">
        <v>327</v>
      </c>
      <c r="F40" s="12">
        <f>_xll.BDP($E40,F$1)</f>
        <v>4.875</v>
      </c>
    </row>
    <row r="41" spans="1:6" x14ac:dyDescent="0.25">
      <c r="A41" t="str">
        <f>VLOOKUP(B41,ratings_map!$B$3:$C$66,2,FALSE)</f>
        <v>GEO</v>
      </c>
      <c r="B41" s="10" t="s">
        <v>186</v>
      </c>
      <c r="C41" s="10" t="s">
        <v>226</v>
      </c>
      <c r="D41" s="11">
        <f>_xll.BDP(C41,$D$1)</f>
        <v>173.82</v>
      </c>
      <c r="E41" t="s">
        <v>328</v>
      </c>
      <c r="F41" s="12">
        <f>_xll.BDP($E41,F$1)</f>
        <v>4.6719999999999997</v>
      </c>
    </row>
    <row r="42" spans="1:6" x14ac:dyDescent="0.25">
      <c r="A42" t="str">
        <f>VLOOKUP(B42,ratings_map!$B$3:$C$66,2,FALSE)</f>
        <v>HUN</v>
      </c>
      <c r="B42" s="10" t="s">
        <v>187</v>
      </c>
      <c r="C42" s="10" t="s">
        <v>249</v>
      </c>
      <c r="D42" s="11">
        <f>_xll.BDP(C42,$D$1)</f>
        <v>150.86000000000001</v>
      </c>
      <c r="E42" t="s">
        <v>329</v>
      </c>
      <c r="F42" s="12">
        <f>_xll.BDP($E42,F$1)</f>
        <v>5.556</v>
      </c>
    </row>
    <row r="43" spans="1:6" x14ac:dyDescent="0.25">
      <c r="A43" t="str">
        <f>VLOOKUP(B43,ratings_map!$B$3:$C$66,2,FALSE)</f>
        <v>KAZ</v>
      </c>
      <c r="B43" s="10" t="s">
        <v>188</v>
      </c>
      <c r="C43" s="10" t="s">
        <v>250</v>
      </c>
      <c r="D43" s="11">
        <f>_xll.BDP(C43,$D$1)</f>
        <v>130.49</v>
      </c>
      <c r="E43" t="s">
        <v>330</v>
      </c>
      <c r="F43" s="12">
        <f>_xll.BDP($E43,F$1)</f>
        <v>5.1890000000000001</v>
      </c>
    </row>
    <row r="44" spans="1:6" x14ac:dyDescent="0.25">
      <c r="A44" t="str">
        <f>VLOOKUP(B44,ratings_map!$B$3:$C$66,2,FALSE)</f>
        <v>POL</v>
      </c>
      <c r="B44" s="10" t="s">
        <v>189</v>
      </c>
      <c r="C44" s="10" t="s">
        <v>227</v>
      </c>
      <c r="D44" s="11">
        <f>_xll.BDP(C44,$D$1)</f>
        <v>146.82</v>
      </c>
      <c r="E44" t="s">
        <v>331</v>
      </c>
      <c r="F44" s="12">
        <f>_xll.BDP($E44,F$1)</f>
        <v>5.4340000000000002</v>
      </c>
    </row>
    <row r="45" spans="1:6" x14ac:dyDescent="0.25">
      <c r="A45" t="str">
        <f>VLOOKUP(B45,ratings_map!$B$3:$C$66,2,FALSE)</f>
        <v>ROM</v>
      </c>
      <c r="B45" s="10" t="s">
        <v>190</v>
      </c>
      <c r="C45" s="10" t="s">
        <v>228</v>
      </c>
      <c r="D45" s="11">
        <f>_xll.BDP(C45,$D$1)</f>
        <v>220.94</v>
      </c>
      <c r="E45" t="s">
        <v>332</v>
      </c>
      <c r="F45" s="12">
        <f>_xll.BDP($E45,F$1)</f>
        <v>5.9879999999999995</v>
      </c>
    </row>
    <row r="46" spans="1:6" x14ac:dyDescent="0.25">
      <c r="A46" t="str">
        <f>VLOOKUP(B46,ratings_map!$B$3:$C$66,2,FALSE)</f>
        <v>SER</v>
      </c>
      <c r="B46" s="10" t="s">
        <v>191</v>
      </c>
      <c r="C46" s="10" t="s">
        <v>236</v>
      </c>
      <c r="D46" s="11">
        <f>_xll.BDP(C46,$D$1)</f>
        <v>162.84</v>
      </c>
      <c r="E46" t="s">
        <v>333</v>
      </c>
      <c r="F46" s="12">
        <f>_xll.BDP($E46,F$1)</f>
        <v>5.2450000000000001</v>
      </c>
    </row>
    <row r="47" spans="1:6" x14ac:dyDescent="0.25">
      <c r="A47" t="str">
        <f>VLOOKUP(B47,ratings_map!$B$3:$C$66,2,FALSE)</f>
        <v>TUR</v>
      </c>
      <c r="B47" s="10" t="s">
        <v>192</v>
      </c>
      <c r="C47" s="10" t="s">
        <v>217</v>
      </c>
      <c r="D47" s="11">
        <f>_xll.BDP(C47,$D$1)</f>
        <v>282.62</v>
      </c>
      <c r="E47" t="s">
        <v>334</v>
      </c>
      <c r="F47" s="12">
        <f>_xll.BDP($E47,F$1)</f>
        <v>7.0289999999999999</v>
      </c>
    </row>
    <row r="48" spans="1:6" x14ac:dyDescent="0.25">
      <c r="A48" t="str">
        <f>VLOOKUP(B48,ratings_map!$B$3:$C$66,2,FALSE)</f>
        <v>UKR</v>
      </c>
      <c r="B48" s="10" t="s">
        <v>193</v>
      </c>
      <c r="C48" s="10" t="s">
        <v>229</v>
      </c>
      <c r="D48" s="11">
        <f>_xll.BDP(C48,$D$1)</f>
        <v>771.13</v>
      </c>
      <c r="E48" t="s">
        <v>335</v>
      </c>
      <c r="F48" s="12">
        <f>_xll.BDP($E48,F$1)</f>
        <v>4.76</v>
      </c>
    </row>
    <row r="49" spans="1:6" x14ac:dyDescent="0.25">
      <c r="A49" t="str">
        <f>VLOOKUP(B49,ratings_map!$B$3:$C$66,2,FALSE)</f>
        <v>UZB</v>
      </c>
      <c r="B49" s="10" t="s">
        <v>194</v>
      </c>
      <c r="C49" s="10" t="s">
        <v>218</v>
      </c>
      <c r="D49" s="11">
        <f>_xll.BDP(C49,$D$1)</f>
        <v>125.68</v>
      </c>
      <c r="E49" t="s">
        <v>366</v>
      </c>
      <c r="F49" s="12">
        <f>_xll.BDP($E49,F$1)</f>
        <v>6.07</v>
      </c>
    </row>
    <row r="50" spans="1:6" x14ac:dyDescent="0.25">
      <c r="A50" t="str">
        <f>VLOOKUP(B50,ratings_map!$B$3:$C$66,2,FALSE)</f>
        <v>ANG</v>
      </c>
      <c r="B50" s="10" t="s">
        <v>195</v>
      </c>
      <c r="C50" s="10" t="s">
        <v>251</v>
      </c>
      <c r="D50" s="11">
        <f>_xll.BDP(C50,$D$1)</f>
        <v>452.94</v>
      </c>
      <c r="E50" t="s">
        <v>340</v>
      </c>
      <c r="F50" s="12">
        <f>_xll.BDP($E50,F$1)</f>
        <v>8.6509999999999998</v>
      </c>
    </row>
    <row r="51" spans="1:6" x14ac:dyDescent="0.25">
      <c r="A51" t="str">
        <f>VLOOKUP(B51,ratings_map!$B$3:$C$66,2,FALSE)</f>
        <v>BEN</v>
      </c>
      <c r="B51" s="10" t="s">
        <v>196</v>
      </c>
      <c r="C51" s="10" t="s">
        <v>270</v>
      </c>
      <c r="D51" s="11">
        <f>_xll.BDP(C51,$D$1)</f>
        <v>276.69799999999998</v>
      </c>
      <c r="E51" t="s">
        <v>367</v>
      </c>
      <c r="F51" s="12">
        <f>_xll.BDP($E51,F$1)</f>
        <v>7.25</v>
      </c>
    </row>
    <row r="52" spans="1:6" x14ac:dyDescent="0.25">
      <c r="A52" t="str">
        <f>VLOOKUP(B52,ratings_map!$B$3:$C$66,2,FALSE)</f>
        <v>CAM</v>
      </c>
      <c r="B52" s="10" t="s">
        <v>266</v>
      </c>
      <c r="C52" s="10" t="s">
        <v>267</v>
      </c>
      <c r="D52" s="11">
        <f>_xll.BDP(C52,$D$1)</f>
        <v>495.07299999999998</v>
      </c>
      <c r="E52" t="s">
        <v>342</v>
      </c>
      <c r="F52" s="12">
        <f>_xll.BDP($E52,F$1)</f>
        <v>9.3379999999999992</v>
      </c>
    </row>
    <row r="53" spans="1:6" x14ac:dyDescent="0.25">
      <c r="A53" t="str">
        <f>VLOOKUP(B53,ratings_map!$B$3:$C$66,2,FALSE)</f>
        <v>EGY</v>
      </c>
      <c r="B53" s="10" t="s">
        <v>197</v>
      </c>
      <c r="C53" s="10" t="s">
        <v>230</v>
      </c>
      <c r="D53" s="11">
        <f>_xll.BDP(C53,$D$1)</f>
        <v>400.73</v>
      </c>
      <c r="E53" t="s">
        <v>343</v>
      </c>
      <c r="F53" s="12">
        <f>_xll.BDP($E53,F$1)</f>
        <v>7.7080000000000002</v>
      </c>
    </row>
    <row r="54" spans="1:6" x14ac:dyDescent="0.25">
      <c r="A54" t="str">
        <f>VLOOKUP(B54,ratings_map!$B$3:$C$66,2,FALSE)</f>
        <v>ETH</v>
      </c>
      <c r="B54" s="10" t="s">
        <v>198</v>
      </c>
      <c r="C54" s="10" t="s">
        <v>231</v>
      </c>
      <c r="D54" s="11">
        <f>_xll.BDP(C54,$D$1)</f>
        <v>-326.14499999999998</v>
      </c>
      <c r="E54" t="s">
        <v>344</v>
      </c>
      <c r="F54" s="12">
        <f>_xll.BDP($E54,F$1)</f>
        <v>6.0839999999999996</v>
      </c>
    </row>
    <row r="55" spans="1:6" x14ac:dyDescent="0.25">
      <c r="A55" t="str">
        <f>VLOOKUP(B55,ratings_map!$B$3:$C$66,2,FALSE)</f>
        <v>GAB</v>
      </c>
      <c r="B55" s="10" t="s">
        <v>199</v>
      </c>
      <c r="C55" s="10" t="s">
        <v>232</v>
      </c>
      <c r="D55" s="11">
        <f>_xll.BDP(C55,$D$1)</f>
        <v>677.31</v>
      </c>
      <c r="E55" t="s">
        <v>345</v>
      </c>
      <c r="F55" s="12">
        <f>_xll.BDP($E55,F$1)</f>
        <v>8.2769999999999992</v>
      </c>
    </row>
    <row r="56" spans="1:6" x14ac:dyDescent="0.25">
      <c r="A56" t="str">
        <f>VLOOKUP(B56,ratings_map!$B$3:$C$66,2,FALSE)</f>
        <v>GHA</v>
      </c>
      <c r="B56" s="10" t="s">
        <v>200</v>
      </c>
      <c r="C56" s="10" t="s">
        <v>233</v>
      </c>
      <c r="D56" s="11">
        <f>_xll.BDP(C56,$D$1)</f>
        <v>264.64999999999998</v>
      </c>
      <c r="E56" t="s">
        <v>346</v>
      </c>
      <c r="F56" s="12">
        <f>_xll.BDP($E56,F$1)</f>
        <v>5.202</v>
      </c>
    </row>
    <row r="57" spans="1:6" x14ac:dyDescent="0.25">
      <c r="A57" t="str">
        <f>VLOOKUP(B57,ratings_map!$B$3:$C$66,2,FALSE)</f>
        <v>IVY</v>
      </c>
      <c r="B57" s="10" t="s">
        <v>201</v>
      </c>
      <c r="C57" s="10" t="s">
        <v>265</v>
      </c>
      <c r="D57" s="11">
        <f>_xll.BDP(C57,$D$1)</f>
        <v>252</v>
      </c>
      <c r="E57" t="s">
        <v>341</v>
      </c>
      <c r="F57" s="12">
        <f>_xll.BDP($E57,F$1)</f>
        <v>6.9980000000000002</v>
      </c>
    </row>
    <row r="58" spans="1:6" x14ac:dyDescent="0.25">
      <c r="A58" t="str">
        <f>VLOOKUP(B58,ratings_map!$B$3:$C$66,2,FALSE)</f>
        <v>KEN</v>
      </c>
      <c r="B58" s="10" t="s">
        <v>202</v>
      </c>
      <c r="C58" s="10" t="s">
        <v>263</v>
      </c>
      <c r="D58" s="11">
        <f>_xll.BDP(C58,$D$1)</f>
        <v>420.84500000000003</v>
      </c>
      <c r="E58" t="s">
        <v>347</v>
      </c>
      <c r="F58" s="12">
        <f>_xll.BDP($E58,F$1)</f>
        <v>8.2609999999999992</v>
      </c>
    </row>
    <row r="59" spans="1:6" x14ac:dyDescent="0.25">
      <c r="A59" t="str">
        <f>VLOOKUP(B59,ratings_map!$B$3:$C$66,2,FALSE)</f>
        <v>MOR</v>
      </c>
      <c r="B59" s="10" t="s">
        <v>203</v>
      </c>
      <c r="C59" s="10" t="s">
        <v>220</v>
      </c>
      <c r="D59" s="11">
        <f>_xll.BDP(C59,$D$1)</f>
        <v>170.53</v>
      </c>
      <c r="E59" t="s">
        <v>348</v>
      </c>
      <c r="F59" s="12">
        <f>_xll.BDP($E59,F$1)</f>
        <v>5.0510000000000002</v>
      </c>
    </row>
    <row r="60" spans="1:6" x14ac:dyDescent="0.25">
      <c r="A60" t="str">
        <f>VLOOKUP(B60,ratings_map!$B$3:$C$66,2,FALSE)</f>
        <v>MOZ</v>
      </c>
      <c r="B60" s="10" t="s">
        <v>204</v>
      </c>
      <c r="C60" s="10" t="s">
        <v>268</v>
      </c>
      <c r="D60" s="11">
        <f>_xll.BDP(C60,$D$1)</f>
        <v>812.97299999999996</v>
      </c>
      <c r="E60" t="s">
        <v>349</v>
      </c>
      <c r="F60" s="12">
        <f>_xll.BDP($E60,F$1)</f>
        <v>9.4209999999999994</v>
      </c>
    </row>
    <row r="61" spans="1:6" x14ac:dyDescent="0.25">
      <c r="A61" t="str">
        <f>VLOOKUP(B61,ratings_map!$B$3:$C$66,2,FALSE)</f>
        <v>NIG</v>
      </c>
      <c r="B61" s="10" t="s">
        <v>205</v>
      </c>
      <c r="C61" s="10" t="s">
        <v>264</v>
      </c>
      <c r="D61" s="11">
        <f>_xll.BDP(C61,$D$1)</f>
        <v>315.58</v>
      </c>
      <c r="E61" t="s">
        <v>350</v>
      </c>
      <c r="F61" s="12">
        <f>_xll.BDP($E61,F$1)</f>
        <v>7.5140000000000002</v>
      </c>
    </row>
    <row r="62" spans="1:6" x14ac:dyDescent="0.25">
      <c r="A62" t="str">
        <f>VLOOKUP(B62,ratings_map!$B$3:$C$66,2,FALSE)</f>
        <v>RWA</v>
      </c>
      <c r="B62" s="10" t="s">
        <v>206</v>
      </c>
      <c r="C62" s="10" t="s">
        <v>271</v>
      </c>
      <c r="D62" s="11">
        <f>_xll.BDP(C62,$D$1)</f>
        <v>215.78100000000001</v>
      </c>
      <c r="E62" t="s">
        <v>368</v>
      </c>
      <c r="F62" s="12">
        <f>_xll.BDP($E62,F$1)</f>
        <v>5.6690000000000005</v>
      </c>
    </row>
    <row r="63" spans="1:6" x14ac:dyDescent="0.25">
      <c r="A63" t="str">
        <f>VLOOKUP(B63,ratings_map!$B$3:$C$66,2,FALSE)</f>
        <v>SAF</v>
      </c>
      <c r="B63" s="10" t="s">
        <v>207</v>
      </c>
      <c r="C63" s="10" t="s">
        <v>224</v>
      </c>
      <c r="D63" s="11">
        <f>_xll.BDP(C63,$D$1)</f>
        <v>260.91000000000003</v>
      </c>
      <c r="E63" t="s">
        <v>351</v>
      </c>
      <c r="F63" s="12">
        <f>_xll.BDP($E63,F$1)</f>
        <v>6.274</v>
      </c>
    </row>
    <row r="64" spans="1:6" x14ac:dyDescent="0.25">
      <c r="A64" t="str">
        <f>VLOOKUP(B64,ratings_map!$B$3:$C$66,2,FALSE)</f>
        <v>ZAM</v>
      </c>
      <c r="B64" s="10" t="s">
        <v>208</v>
      </c>
      <c r="C64" s="10" t="s">
        <v>269</v>
      </c>
      <c r="D64" s="11">
        <f>_xll.BDP(C64,$D$1)</f>
        <v>236.8</v>
      </c>
      <c r="E64" t="s">
        <v>352</v>
      </c>
      <c r="F64" s="12">
        <f>_xll.BDP($E64,F$1)</f>
        <v>5.7880000000000003</v>
      </c>
    </row>
  </sheetData>
  <autoFilter ref="B1:D1" xr:uid="{6C48CB87-2A86-4D2F-9BA0-2F57B0973715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537AD4-0C64-439A-99E8-2E5F080987C4}">
  <dimension ref="A1:D64"/>
  <sheetViews>
    <sheetView tabSelected="1" workbookViewId="0">
      <selection activeCell="P17" sqref="P17"/>
    </sheetView>
  </sheetViews>
  <sheetFormatPr defaultRowHeight="15" x14ac:dyDescent="0.25"/>
  <cols>
    <col min="2" max="2" width="16.140625" customWidth="1"/>
    <col min="3" max="3" width="15.42578125" style="13" customWidth="1"/>
    <col min="4" max="4" width="27.85546875" bestFit="1" customWidth="1"/>
  </cols>
  <sheetData>
    <row r="1" spans="1:4" x14ac:dyDescent="0.25">
      <c r="A1" t="s">
        <v>613</v>
      </c>
      <c r="B1" t="s">
        <v>631</v>
      </c>
      <c r="C1" s="13" t="s">
        <v>306</v>
      </c>
      <c r="D1" t="s">
        <v>632</v>
      </c>
    </row>
    <row r="2" spans="1:4" x14ac:dyDescent="0.25">
      <c r="A2" t="s">
        <v>14</v>
      </c>
      <c r="B2" t="s">
        <v>633</v>
      </c>
      <c r="C2" s="13">
        <f>_xll.BDP($B2,C$1)</f>
        <v>65.474000000000004</v>
      </c>
      <c r="D2" t="str">
        <f>_xll.BDP($B2,D$1)</f>
        <v>Argentina Price Index</v>
      </c>
    </row>
    <row r="3" spans="1:4" x14ac:dyDescent="0.25">
      <c r="A3" t="s">
        <v>275</v>
      </c>
      <c r="B3" t="s">
        <v>634</v>
      </c>
      <c r="C3" s="13">
        <f>_xll.BDP($B3,C$1)</f>
        <v>122.663</v>
      </c>
      <c r="D3" t="str">
        <f>_xll.BDP($B3,D$1)</f>
        <v>BB Price Index Level</v>
      </c>
    </row>
    <row r="4" spans="1:4" x14ac:dyDescent="0.25">
      <c r="A4" t="s">
        <v>21</v>
      </c>
      <c r="B4" t="s">
        <v>635</v>
      </c>
      <c r="C4" s="13">
        <f>_xll.BDP($B4,C$1)</f>
        <v>104.405</v>
      </c>
      <c r="D4" t="str">
        <f>_xll.BDP($B4,D$1)</f>
        <v>Bolivia Price Index Leve</v>
      </c>
    </row>
    <row r="5" spans="1:4" x14ac:dyDescent="0.25">
      <c r="A5" t="s">
        <v>22</v>
      </c>
      <c r="B5" t="s">
        <v>636</v>
      </c>
      <c r="C5" s="13">
        <f>_xll.BDP($B5,C$1)</f>
        <v>171.19900000000001</v>
      </c>
      <c r="D5" t="str">
        <f>_xll.BDP($B5,D$1)</f>
        <v>Brazil Price Index</v>
      </c>
    </row>
    <row r="6" spans="1:4" x14ac:dyDescent="0.25">
      <c r="A6" t="s">
        <v>23</v>
      </c>
      <c r="B6" t="s">
        <v>637</v>
      </c>
      <c r="C6" s="13">
        <f>_xll.BDP($B6,C$1)</f>
        <v>109.98099999999999</v>
      </c>
      <c r="D6" t="str">
        <f>_xll.BDP($B6,D$1)</f>
        <v>Chile Price Index</v>
      </c>
    </row>
    <row r="7" spans="1:4" x14ac:dyDescent="0.25">
      <c r="A7" t="s">
        <v>25</v>
      </c>
      <c r="B7" t="s">
        <v>638</v>
      </c>
      <c r="C7" s="13">
        <f>_xll.BDP($B7,C$1)</f>
        <v>102.345</v>
      </c>
      <c r="D7" t="str">
        <f>_xll.BDP($B7,D$1)</f>
        <v>Colombia Price Index</v>
      </c>
    </row>
    <row r="8" spans="1:4" x14ac:dyDescent="0.25">
      <c r="A8" t="s">
        <v>273</v>
      </c>
      <c r="B8" t="s">
        <v>639</v>
      </c>
      <c r="C8" s="13">
        <f>_xll.BDP($B8,C$1)</f>
        <v>105.916</v>
      </c>
      <c r="D8" t="str">
        <f>_xll.BDP($B8,D$1)</f>
        <v>Costa Rica Price Index</v>
      </c>
    </row>
    <row r="9" spans="1:4" x14ac:dyDescent="0.25">
      <c r="A9" t="s">
        <v>26</v>
      </c>
      <c r="B9" t="s">
        <v>640</v>
      </c>
      <c r="C9" s="13">
        <f>_xll.BDP($B9,C$1)</f>
        <v>119.774</v>
      </c>
      <c r="D9" t="str">
        <f>_xll.BDP($B9,D$1)</f>
        <v>Dominican Rep Price Idx</v>
      </c>
    </row>
    <row r="10" spans="1:4" x14ac:dyDescent="0.25">
      <c r="A10" t="s">
        <v>27</v>
      </c>
      <c r="B10" t="s">
        <v>641</v>
      </c>
      <c r="C10" s="13">
        <f>_xll.BDP($B10,C$1)</f>
        <v>90.364999999999995</v>
      </c>
      <c r="D10" t="str">
        <f>_xll.BDP($B10,D$1)</f>
        <v>Ecuador Price Index</v>
      </c>
    </row>
    <row r="11" spans="1:4" x14ac:dyDescent="0.25">
      <c r="A11" t="s">
        <v>274</v>
      </c>
      <c r="B11" t="s">
        <v>642</v>
      </c>
      <c r="C11" s="13">
        <f>_xll.BDP($B11,C$1)</f>
        <v>120.16</v>
      </c>
      <c r="D11" t="str">
        <f>_xll.BDP($B11,D$1)</f>
        <v>El Salvador Price Index</v>
      </c>
    </row>
    <row r="12" spans="1:4" x14ac:dyDescent="0.25">
      <c r="A12" t="s">
        <v>32</v>
      </c>
      <c r="B12" t="s">
        <v>643</v>
      </c>
      <c r="C12" s="13">
        <f>_xll.BDP($B12,C$1)</f>
        <v>100.379</v>
      </c>
      <c r="D12" t="str">
        <f>_xll.BDP($B12,D$1)</f>
        <v>Guatemala Price Index</v>
      </c>
    </row>
    <row r="13" spans="1:4" x14ac:dyDescent="0.25">
      <c r="A13" t="s">
        <v>33</v>
      </c>
      <c r="B13" t="s">
        <v>644</v>
      </c>
      <c r="C13" s="13">
        <f>_xll.BDP($B13,C$1)</f>
        <v>104.63800000000001</v>
      </c>
      <c r="D13" t="str">
        <f>_xll.BDP($B13,D$1)</f>
        <v>Honduras Price Index Level</v>
      </c>
    </row>
    <row r="14" spans="1:4" x14ac:dyDescent="0.25">
      <c r="A14" t="s">
        <v>37</v>
      </c>
      <c r="B14" t="s">
        <v>645</v>
      </c>
      <c r="C14" s="13">
        <f>_xll.BDP($B14,C$1)</f>
        <v>110.51</v>
      </c>
      <c r="D14" t="str">
        <f>_xll.BDP($B14,D$1)</f>
        <v>Jamaica Price Index</v>
      </c>
    </row>
    <row r="15" spans="1:4" x14ac:dyDescent="0.25">
      <c r="A15" t="s">
        <v>42</v>
      </c>
      <c r="B15" t="s">
        <v>646</v>
      </c>
      <c r="C15" s="13">
        <f>_xll.BDP($B15,C$1)</f>
        <v>111.56100000000001</v>
      </c>
      <c r="D15" t="str">
        <f>_xll.BDP($B15,D$1)</f>
        <v>Mexico Price Index</v>
      </c>
    </row>
    <row r="16" spans="1:4" x14ac:dyDescent="0.25">
      <c r="A16" t="s">
        <v>48</v>
      </c>
      <c r="B16" t="s">
        <v>647</v>
      </c>
      <c r="C16" s="13">
        <f>_xll.BDP($B16,C$1)</f>
        <v>281.88099999999997</v>
      </c>
      <c r="D16" t="str">
        <f>_xll.BDP($B16,D$1)</f>
        <v>Panama Price Index</v>
      </c>
    </row>
    <row r="17" spans="1:4" x14ac:dyDescent="0.25">
      <c r="A17" t="s">
        <v>49</v>
      </c>
      <c r="B17" t="s">
        <v>648</v>
      </c>
      <c r="C17" s="13">
        <f>_xll.BDP($B17,C$1)</f>
        <v>94.266999999999996</v>
      </c>
      <c r="D17" t="str">
        <f>_xll.BDP($B17,D$1)</f>
        <v>Paraguay Price Index Level</v>
      </c>
    </row>
    <row r="18" spans="1:4" x14ac:dyDescent="0.25">
      <c r="A18" t="s">
        <v>50</v>
      </c>
      <c r="B18" t="s">
        <v>649</v>
      </c>
      <c r="C18" s="13">
        <f>_xll.BDP($B18,C$1)</f>
        <v>286.154</v>
      </c>
      <c r="D18" t="str">
        <f>_xll.BDP($B18,D$1)</f>
        <v>Peru Price Index</v>
      </c>
    </row>
    <row r="19" spans="1:4" x14ac:dyDescent="0.25">
      <c r="A19" t="s">
        <v>276</v>
      </c>
      <c r="B19" t="s">
        <v>650</v>
      </c>
      <c r="C19" s="13" t="str">
        <f>_xll.BDP($B19,C$1)</f>
        <v>#N/A Invalid Security</v>
      </c>
      <c r="D19" t="str">
        <f>_xll.BDP($B19,D$1)</f>
        <v>#N/A Invalid Security</v>
      </c>
    </row>
    <row r="20" spans="1:4" x14ac:dyDescent="0.25">
      <c r="A20" t="s">
        <v>288</v>
      </c>
      <c r="B20" t="s">
        <v>651</v>
      </c>
      <c r="C20" s="13">
        <f>_xll.BDP($B20,C$1)</f>
        <v>87.837999999999994</v>
      </c>
      <c r="D20" t="str">
        <f>_xll.BDP($B20,D$1)</f>
        <v>Trin &amp; Tob Price I</v>
      </c>
    </row>
    <row r="21" spans="1:4" x14ac:dyDescent="0.25">
      <c r="A21" t="s">
        <v>61</v>
      </c>
      <c r="B21" t="s">
        <v>652</v>
      </c>
      <c r="C21" s="13">
        <f>_xll.BDP($B21,C$1)</f>
        <v>112.56399999999999</v>
      </c>
      <c r="D21" t="str">
        <f>_xll.BDP($B21,D$1)</f>
        <v>Uruguay Price Index</v>
      </c>
    </row>
    <row r="22" spans="1:4" x14ac:dyDescent="0.25">
      <c r="A22" t="s">
        <v>62</v>
      </c>
      <c r="B22" t="s">
        <v>653</v>
      </c>
      <c r="C22" s="13">
        <f>_xll.BDP($B22,C$1)</f>
        <v>412.423</v>
      </c>
      <c r="D22" t="str">
        <f>_xll.BDP($B22,D$1)</f>
        <v>Venezuela Price Index</v>
      </c>
    </row>
    <row r="23" spans="1:4" x14ac:dyDescent="0.25">
      <c r="A23" t="s">
        <v>24</v>
      </c>
      <c r="B23" t="s">
        <v>654</v>
      </c>
      <c r="C23" s="13">
        <f>_xll.BDP($B23,C$1)</f>
        <v>131.00899999999999</v>
      </c>
      <c r="D23" t="str">
        <f>_xll.BDP($B23,D$1)</f>
        <v>China Price Index</v>
      </c>
    </row>
    <row r="24" spans="1:4" x14ac:dyDescent="0.25">
      <c r="A24" t="s">
        <v>35</v>
      </c>
      <c r="B24" t="s">
        <v>655</v>
      </c>
      <c r="C24" s="13">
        <f>_xll.BDP($B24,C$1)</f>
        <v>99.180999999999997</v>
      </c>
      <c r="D24" t="str">
        <f>_xll.BDP($B24,D$1)</f>
        <v>India Price In</v>
      </c>
    </row>
    <row r="25" spans="1:4" x14ac:dyDescent="0.25">
      <c r="A25" t="s">
        <v>304</v>
      </c>
      <c r="B25" t="s">
        <v>656</v>
      </c>
      <c r="C25" s="13">
        <f>_xll.BDP($B25,C$1)</f>
        <v>124.85599999999999</v>
      </c>
      <c r="D25" t="str">
        <f>_xll.BDP($B25,D$1)</f>
        <v>Indonesia Price Index</v>
      </c>
    </row>
    <row r="26" spans="1:4" x14ac:dyDescent="0.25">
      <c r="A26" t="s">
        <v>90</v>
      </c>
      <c r="B26" t="s">
        <v>657</v>
      </c>
      <c r="C26" s="13">
        <f>_xll.BDP($B26,C$1)</f>
        <v>87.302999999999997</v>
      </c>
      <c r="D26" t="str">
        <f>_xll.BDP($B26,D$1)</f>
        <v>Malaysia Price Index</v>
      </c>
    </row>
    <row r="27" spans="1:4" x14ac:dyDescent="0.25">
      <c r="A27" t="s">
        <v>43</v>
      </c>
      <c r="B27" t="s">
        <v>658</v>
      </c>
      <c r="C27" s="13">
        <f>_xll.BDP($B27,C$1)</f>
        <v>118.086</v>
      </c>
      <c r="D27" t="str">
        <f>_xll.BDP($B27,D$1)</f>
        <v>Mongolia Price Index</v>
      </c>
    </row>
    <row r="28" spans="1:4" x14ac:dyDescent="0.25">
      <c r="A28" t="s">
        <v>47</v>
      </c>
      <c r="B28" t="s">
        <v>659</v>
      </c>
      <c r="C28" s="13">
        <f>_xll.BDP($B28,C$1)</f>
        <v>123.94</v>
      </c>
      <c r="D28" t="str">
        <f>_xll.BDP($B28,D$1)</f>
        <v>Pakistan Price Index</v>
      </c>
    </row>
    <row r="29" spans="1:4" x14ac:dyDescent="0.25">
      <c r="A29" t="s">
        <v>277</v>
      </c>
      <c r="B29" t="s">
        <v>660</v>
      </c>
      <c r="C29" s="13" t="str">
        <f>_xll.BDP($B29,C$1)</f>
        <v>#N/A Invalid Security</v>
      </c>
      <c r="D29" t="str">
        <f>_xll.BDP($B29,D$1)</f>
        <v>#N/A Invalid Security</v>
      </c>
    </row>
    <row r="30" spans="1:4" x14ac:dyDescent="0.25">
      <c r="A30" t="s">
        <v>51</v>
      </c>
      <c r="B30" t="s">
        <v>661</v>
      </c>
      <c r="C30" s="13">
        <f>_xll.BDP($B30,C$1)</f>
        <v>118.82899999999999</v>
      </c>
      <c r="D30" t="str">
        <f>_xll.BDP($B30,D$1)</f>
        <v>Philippines Price Index</v>
      </c>
    </row>
    <row r="31" spans="1:4" x14ac:dyDescent="0.25">
      <c r="A31" t="s">
        <v>58</v>
      </c>
      <c r="B31" t="s">
        <v>662</v>
      </c>
      <c r="C31" s="13">
        <f>_xll.BDP($B31,C$1)</f>
        <v>96.069000000000003</v>
      </c>
      <c r="D31" t="str">
        <f>_xll.BDP($B31,D$1)</f>
        <v>Sri Lanka Price Index</v>
      </c>
    </row>
    <row r="32" spans="1:4" x14ac:dyDescent="0.25">
      <c r="A32" t="s">
        <v>292</v>
      </c>
      <c r="B32" t="s">
        <v>663</v>
      </c>
      <c r="C32" s="13">
        <f>_xll.BDP($B32,C$1)</f>
        <v>160.30000000000001</v>
      </c>
      <c r="D32" t="str">
        <f>_xll.BDP($B32,D$1)</f>
        <v>Iraq Price Index</v>
      </c>
    </row>
    <row r="33" spans="1:4" x14ac:dyDescent="0.25">
      <c r="A33" t="s">
        <v>38</v>
      </c>
      <c r="B33" t="s">
        <v>664</v>
      </c>
      <c r="C33" s="13">
        <f>_xll.BDP($B33,C$1)</f>
        <v>100.80800000000001</v>
      </c>
      <c r="D33" t="str">
        <f>_xll.BDP($B33,D$1)</f>
        <v>Jordan Price Index</v>
      </c>
    </row>
    <row r="34" spans="1:4" x14ac:dyDescent="0.25">
      <c r="A34" t="s">
        <v>41</v>
      </c>
      <c r="B34" t="s">
        <v>665</v>
      </c>
      <c r="C34" s="13">
        <f>_xll.BDP($B34,C$1)</f>
        <v>32.832000000000001</v>
      </c>
      <c r="D34" t="str">
        <f>_xll.BDP($B34,D$1)</f>
        <v>Lebanon Price Index</v>
      </c>
    </row>
    <row r="35" spans="1:4" x14ac:dyDescent="0.25">
      <c r="A35" t="s">
        <v>46</v>
      </c>
      <c r="B35" t="s">
        <v>666</v>
      </c>
      <c r="C35" s="13" t="str">
        <f>_xll.BDP($B35,C$1)</f>
        <v>#N/A Invalid Security</v>
      </c>
      <c r="D35" t="str">
        <f>_xll.BDP($B35,D$1)</f>
        <v>#N/A Invalid Security</v>
      </c>
    </row>
    <row r="36" spans="1:4" x14ac:dyDescent="0.25">
      <c r="A36" t="s">
        <v>181</v>
      </c>
      <c r="B36" t="s">
        <v>667</v>
      </c>
      <c r="C36" s="13" t="str">
        <f>_xll.BDP($B36,C$1)</f>
        <v>#N/A Invalid Security</v>
      </c>
      <c r="D36" t="str">
        <f>_xll.BDP($B36,D$1)</f>
        <v>#N/A Invalid Security</v>
      </c>
    </row>
    <row r="37" spans="1:4" x14ac:dyDescent="0.25">
      <c r="A37" t="s">
        <v>15</v>
      </c>
      <c r="B37" t="s">
        <v>668</v>
      </c>
      <c r="C37" s="13" t="str">
        <f>_xll.BDP($B37,C$1)</f>
        <v>#N/A Invalid Security</v>
      </c>
      <c r="D37" t="str">
        <f>_xll.BDP($B37,D$1)</f>
        <v>#N/A Invalid Security</v>
      </c>
    </row>
    <row r="38" spans="1:4" x14ac:dyDescent="0.25">
      <c r="A38" t="s">
        <v>54</v>
      </c>
      <c r="B38" t="s">
        <v>669</v>
      </c>
      <c r="C38" s="13" t="str">
        <f>_xll.BDP($B38,C$1)</f>
        <v>#N/A Invalid Security</v>
      </c>
      <c r="D38" t="str">
        <f>_xll.BDP($B38,D$1)</f>
        <v>#N/A Invalid Security</v>
      </c>
    </row>
    <row r="39" spans="1:4" x14ac:dyDescent="0.25">
      <c r="A39" t="s">
        <v>29</v>
      </c>
      <c r="B39" t="s">
        <v>670</v>
      </c>
      <c r="C39" s="13">
        <f>_xll.BDP($B39,C$1)</f>
        <v>110.956</v>
      </c>
      <c r="D39" t="str">
        <f>_xll.BDP($B39,D$1)</f>
        <v>Armenia Price Level</v>
      </c>
    </row>
    <row r="40" spans="1:4" x14ac:dyDescent="0.25">
      <c r="A40" t="s">
        <v>20</v>
      </c>
      <c r="B40" t="s">
        <v>671</v>
      </c>
      <c r="C40" s="13">
        <f>_xll.BDP($B40,C$1)</f>
        <v>102.06100000000001</v>
      </c>
      <c r="D40" t="str">
        <f>_xll.BDP($B40,D$1)</f>
        <v>Azerbaijan Price Index</v>
      </c>
    </row>
    <row r="41" spans="1:4" x14ac:dyDescent="0.25">
      <c r="A41" t="s">
        <v>278</v>
      </c>
      <c r="B41" t="s">
        <v>672</v>
      </c>
      <c r="C41" s="13">
        <f>_xll.BDP($B41,C$1)</f>
        <v>115.871</v>
      </c>
      <c r="D41" t="str">
        <f>_xll.BDP($B41,D$1)</f>
        <v>Georgia Price Index</v>
      </c>
    </row>
    <row r="42" spans="1:4" x14ac:dyDescent="0.25">
      <c r="A42" t="s">
        <v>34</v>
      </c>
      <c r="B42" t="s">
        <v>673</v>
      </c>
      <c r="C42" s="13">
        <f>_xll.BDP($B42,C$1)</f>
        <v>93.406999999999996</v>
      </c>
      <c r="D42" t="str">
        <f>_xll.BDP($B42,D$1)</f>
        <v>Hungary Price Index</v>
      </c>
    </row>
    <row r="43" spans="1:4" x14ac:dyDescent="0.25">
      <c r="A43" t="s">
        <v>39</v>
      </c>
      <c r="B43" t="s">
        <v>674</v>
      </c>
      <c r="C43" s="13">
        <f>_xll.BDP($B43,C$1)</f>
        <v>94.533000000000001</v>
      </c>
      <c r="D43" t="str">
        <f>_xll.BDP($B43,D$1)</f>
        <v>Kazakhstan Price Index</v>
      </c>
    </row>
    <row r="44" spans="1:4" x14ac:dyDescent="0.25">
      <c r="A44" t="s">
        <v>52</v>
      </c>
      <c r="B44" t="s">
        <v>675</v>
      </c>
      <c r="C44" s="13">
        <f>_xll.BDP($B44,C$1)</f>
        <v>159.482</v>
      </c>
      <c r="D44" t="str">
        <f>_xll.BDP($B44,D$1)</f>
        <v>Poland Price Index</v>
      </c>
    </row>
    <row r="45" spans="1:4" x14ac:dyDescent="0.25">
      <c r="A45" t="s">
        <v>53</v>
      </c>
      <c r="B45" t="s">
        <v>676</v>
      </c>
      <c r="C45" s="13">
        <f>_xll.BDP($B45,C$1)</f>
        <v>95.701999999999998</v>
      </c>
      <c r="D45" t="str">
        <f>_xll.BDP($B45,D$1)</f>
        <v>Romania Price Index</v>
      </c>
    </row>
    <row r="46" spans="1:4" x14ac:dyDescent="0.25">
      <c r="A46" t="s">
        <v>56</v>
      </c>
      <c r="B46" t="s">
        <v>677</v>
      </c>
      <c r="C46" s="13">
        <f>_xll.BDP($B46,C$1)</f>
        <v>81.096000000000004</v>
      </c>
      <c r="D46" t="str">
        <f>_xll.BDP($B46,D$1)</f>
        <v>Serbia Price Index</v>
      </c>
    </row>
    <row r="47" spans="1:4" x14ac:dyDescent="0.25">
      <c r="A47" t="s">
        <v>59</v>
      </c>
      <c r="B47" t="s">
        <v>678</v>
      </c>
      <c r="C47" s="13">
        <f>_xll.BDP($B47,C$1)</f>
        <v>124.434</v>
      </c>
      <c r="D47" t="str">
        <f>_xll.BDP($B47,D$1)</f>
        <v>Turkey Price Index</v>
      </c>
    </row>
    <row r="48" spans="1:4" x14ac:dyDescent="0.25">
      <c r="A48" t="s">
        <v>60</v>
      </c>
      <c r="B48" t="s">
        <v>679</v>
      </c>
      <c r="C48" s="13">
        <f>_xll.BDP($B48,C$1)</f>
        <v>83.266000000000005</v>
      </c>
      <c r="D48" t="str">
        <f>_xll.BDP($B48,D$1)</f>
        <v>Ukraine Price Index</v>
      </c>
    </row>
    <row r="49" spans="1:4" x14ac:dyDescent="0.25">
      <c r="A49" t="s">
        <v>279</v>
      </c>
      <c r="B49" t="s">
        <v>680</v>
      </c>
      <c r="C49" s="13" t="str">
        <f>_xll.BDP($B49,C$1)</f>
        <v>#N/A Invalid Security</v>
      </c>
      <c r="D49" t="str">
        <f>_xll.BDP($B49,D$1)</f>
        <v>#N/A Invalid Security</v>
      </c>
    </row>
    <row r="50" spans="1:4" x14ac:dyDescent="0.25">
      <c r="A50" t="s">
        <v>18</v>
      </c>
      <c r="B50" t="s">
        <v>681</v>
      </c>
      <c r="C50" s="13">
        <f>_xll.BDP($B50,C$1)</f>
        <v>97.272999999999996</v>
      </c>
      <c r="D50" t="str">
        <f>_xll.BDP($B50,D$1)</f>
        <v>Angola Price I</v>
      </c>
    </row>
    <row r="51" spans="1:4" x14ac:dyDescent="0.25">
      <c r="A51" t="s">
        <v>280</v>
      </c>
      <c r="B51" t="s">
        <v>682</v>
      </c>
      <c r="C51" s="13" t="str">
        <f>_xll.BDP($B51,C$1)</f>
        <v>#N/A Invalid Security</v>
      </c>
      <c r="D51" t="str">
        <f>_xll.BDP($B51,D$1)</f>
        <v>#N/A Invalid Security</v>
      </c>
    </row>
    <row r="52" spans="1:4" x14ac:dyDescent="0.25">
      <c r="A52" t="s">
        <v>281</v>
      </c>
      <c r="B52" t="s">
        <v>683</v>
      </c>
      <c r="C52" s="13">
        <f>_xll.BDP($B52,C$1)</f>
        <v>103.82899999999999</v>
      </c>
      <c r="D52" t="str">
        <f>_xll.BDP($B52,D$1)</f>
        <v>EMBIG Diversified Cameroon</v>
      </c>
    </row>
    <row r="53" spans="1:4" x14ac:dyDescent="0.25">
      <c r="A53" t="s">
        <v>28</v>
      </c>
      <c r="B53" t="s">
        <v>684</v>
      </c>
      <c r="C53" s="13">
        <f>_xll.BDP($B53,C$1)</f>
        <v>106.746</v>
      </c>
      <c r="D53" t="str">
        <f>_xll.BDP($B53,D$1)</f>
        <v>Egypt Price Index</v>
      </c>
    </row>
    <row r="54" spans="1:4" x14ac:dyDescent="0.25">
      <c r="A54" t="s">
        <v>282</v>
      </c>
      <c r="B54" t="s">
        <v>685</v>
      </c>
      <c r="C54" s="13">
        <f>_xll.BDP($B54,C$1)</f>
        <v>111.155</v>
      </c>
      <c r="D54" t="str">
        <f>_xll.BDP($B54,D$1)</f>
        <v>EMBI Global Diversified Ethiop</v>
      </c>
    </row>
    <row r="55" spans="1:4" x14ac:dyDescent="0.25">
      <c r="A55" t="s">
        <v>30</v>
      </c>
      <c r="B55" t="s">
        <v>686</v>
      </c>
      <c r="C55" s="13">
        <f>_xll.BDP($B55,C$1)</f>
        <v>106.631</v>
      </c>
      <c r="D55" t="str">
        <f>_xll.BDP($B55,D$1)</f>
        <v>Gabon Price Index</v>
      </c>
    </row>
    <row r="56" spans="1:4" x14ac:dyDescent="0.25">
      <c r="A56" t="s">
        <v>31</v>
      </c>
      <c r="B56" t="s">
        <v>687</v>
      </c>
      <c r="C56" s="13">
        <f>_xll.BDP($B56,C$1)</f>
        <v>78.385999999999996</v>
      </c>
      <c r="D56" t="str">
        <f>_xll.BDP($B56,D$1)</f>
        <v>Ghana Price Index</v>
      </c>
    </row>
    <row r="57" spans="1:4" x14ac:dyDescent="0.25">
      <c r="A57" t="s">
        <v>36</v>
      </c>
      <c r="B57" t="s">
        <v>688</v>
      </c>
      <c r="C57" s="13">
        <f>_xll.BDP($B57,C$1)</f>
        <v>181.554</v>
      </c>
      <c r="D57" t="str">
        <f>_xll.BDP($B57,D$1)</f>
        <v>Ivory Coast Price Index</v>
      </c>
    </row>
    <row r="58" spans="1:4" x14ac:dyDescent="0.25">
      <c r="A58" t="s">
        <v>40</v>
      </c>
      <c r="B58" t="s">
        <v>689</v>
      </c>
      <c r="C58" s="13">
        <f>_xll.BDP($B58,C$1)</f>
        <v>99.567999999999998</v>
      </c>
      <c r="D58" t="str">
        <f>_xll.BDP($B58,D$1)</f>
        <v>EMBI Global Diversified Kenya</v>
      </c>
    </row>
    <row r="59" spans="1:4" x14ac:dyDescent="0.25">
      <c r="A59" t="s">
        <v>44</v>
      </c>
      <c r="B59" t="s">
        <v>690</v>
      </c>
      <c r="C59" s="13">
        <f>_xll.BDP($B59,C$1)</f>
        <v>91.814999999999998</v>
      </c>
      <c r="D59" t="str">
        <f>_xll.BDP($B59,D$1)</f>
        <v>Morocco Price Index</v>
      </c>
    </row>
    <row r="60" spans="1:4" x14ac:dyDescent="0.25">
      <c r="A60" t="s">
        <v>301</v>
      </c>
      <c r="B60" t="s">
        <v>691</v>
      </c>
      <c r="C60" s="13">
        <f>_xll.BDP($B60,C$1)</f>
        <v>123.166</v>
      </c>
      <c r="D60" t="str">
        <f>_xll.BDP($B60,D$1)</f>
        <v>Mozambique Price Level</v>
      </c>
    </row>
    <row r="61" spans="1:4" x14ac:dyDescent="0.25">
      <c r="A61" t="s">
        <v>45</v>
      </c>
      <c r="B61" t="s">
        <v>692</v>
      </c>
      <c r="C61" s="13">
        <f>_xll.BDP($B61,C$1)</f>
        <v>108.855</v>
      </c>
      <c r="D61" t="str">
        <f>_xll.BDP($B61,D$1)</f>
        <v>Nigeria Price Index</v>
      </c>
    </row>
    <row r="62" spans="1:4" x14ac:dyDescent="0.25">
      <c r="A62" t="s">
        <v>303</v>
      </c>
      <c r="B62" t="s">
        <v>693</v>
      </c>
      <c r="C62" s="13" t="str">
        <f>_xll.BDP($B62,C$1)</f>
        <v>#N/A Invalid Security</v>
      </c>
      <c r="D62" t="str">
        <f>_xll.BDP($B62,D$1)</f>
        <v>#N/A Invalid Security</v>
      </c>
    </row>
    <row r="63" spans="1:4" x14ac:dyDescent="0.25">
      <c r="A63" t="s">
        <v>57</v>
      </c>
      <c r="B63" t="s">
        <v>694</v>
      </c>
      <c r="C63" s="13">
        <f>_xll.BDP($B63,C$1)</f>
        <v>131.619</v>
      </c>
      <c r="D63" t="str">
        <f>_xll.BDP($B63,D$1)</f>
        <v>South Africa Price Index</v>
      </c>
    </row>
    <row r="64" spans="1:4" x14ac:dyDescent="0.25">
      <c r="A64" t="s">
        <v>63</v>
      </c>
      <c r="B64" t="s">
        <v>695</v>
      </c>
      <c r="C64" s="13">
        <f>_xll.BDP($B64,C$1)</f>
        <v>82.087000000000003</v>
      </c>
      <c r="D64" t="str">
        <f>_xll.BDP($B64,D$1)</f>
        <v>Zambia Price I</v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E4DA30-06BF-48E7-A9CB-E62460A7D031}">
  <dimension ref="A1:E21"/>
  <sheetViews>
    <sheetView workbookViewId="0">
      <selection activeCell="K10" sqref="K10"/>
    </sheetView>
  </sheetViews>
  <sheetFormatPr defaultRowHeight="15" x14ac:dyDescent="0.25"/>
  <sheetData>
    <row r="1" spans="1:5" x14ac:dyDescent="0.25">
      <c r="A1" t="s">
        <v>369</v>
      </c>
      <c r="B1" t="s">
        <v>370</v>
      </c>
      <c r="C1" t="s">
        <v>628</v>
      </c>
      <c r="D1" t="s">
        <v>371</v>
      </c>
      <c r="E1" t="s">
        <v>617</v>
      </c>
    </row>
    <row r="2" spans="1:5" x14ac:dyDescent="0.25">
      <c r="A2" t="s">
        <v>112</v>
      </c>
      <c r="B2" t="s">
        <v>127</v>
      </c>
      <c r="C2" t="s">
        <v>112</v>
      </c>
      <c r="D2">
        <v>1</v>
      </c>
      <c r="E2" t="s">
        <v>387</v>
      </c>
    </row>
    <row r="3" spans="1:5" x14ac:dyDescent="0.25">
      <c r="A3" t="s">
        <v>113</v>
      </c>
      <c r="B3" t="s">
        <v>128</v>
      </c>
      <c r="C3" t="s">
        <v>113</v>
      </c>
      <c r="D3">
        <v>2</v>
      </c>
      <c r="E3" t="s">
        <v>387</v>
      </c>
    </row>
    <row r="4" spans="1:5" x14ac:dyDescent="0.25">
      <c r="A4" t="s">
        <v>294</v>
      </c>
      <c r="B4" t="s">
        <v>132</v>
      </c>
      <c r="C4" t="s">
        <v>294</v>
      </c>
      <c r="D4">
        <v>3</v>
      </c>
      <c r="E4" t="s">
        <v>387</v>
      </c>
    </row>
    <row r="5" spans="1:5" x14ac:dyDescent="0.25">
      <c r="A5" t="s">
        <v>114</v>
      </c>
      <c r="B5" t="s">
        <v>131</v>
      </c>
      <c r="C5" t="s">
        <v>114</v>
      </c>
      <c r="D5">
        <v>4</v>
      </c>
      <c r="E5" t="s">
        <v>387</v>
      </c>
    </row>
    <row r="6" spans="1:5" x14ac:dyDescent="0.25">
      <c r="A6" t="s">
        <v>115</v>
      </c>
      <c r="B6" t="s">
        <v>129</v>
      </c>
      <c r="C6" t="s">
        <v>115</v>
      </c>
      <c r="D6">
        <v>5</v>
      </c>
      <c r="E6" t="s">
        <v>387</v>
      </c>
    </row>
    <row r="7" spans="1:5" x14ac:dyDescent="0.25">
      <c r="A7" t="s">
        <v>116</v>
      </c>
      <c r="B7" t="s">
        <v>133</v>
      </c>
      <c r="C7" t="s">
        <v>116</v>
      </c>
      <c r="D7">
        <v>6</v>
      </c>
      <c r="E7" t="s">
        <v>387</v>
      </c>
    </row>
    <row r="8" spans="1:5" x14ac:dyDescent="0.25">
      <c r="A8" t="s">
        <v>117</v>
      </c>
      <c r="B8" t="s">
        <v>134</v>
      </c>
      <c r="C8" t="s">
        <v>117</v>
      </c>
      <c r="D8">
        <v>7</v>
      </c>
      <c r="E8" t="s">
        <v>387</v>
      </c>
    </row>
    <row r="9" spans="1:5" x14ac:dyDescent="0.25">
      <c r="A9" t="s">
        <v>118</v>
      </c>
      <c r="B9" t="s">
        <v>135</v>
      </c>
      <c r="C9" t="s">
        <v>118</v>
      </c>
      <c r="D9">
        <v>8</v>
      </c>
      <c r="E9" t="s">
        <v>387</v>
      </c>
    </row>
    <row r="10" spans="1:5" x14ac:dyDescent="0.25">
      <c r="A10" t="s">
        <v>148</v>
      </c>
      <c r="B10" t="s">
        <v>136</v>
      </c>
      <c r="C10" t="s">
        <v>148</v>
      </c>
      <c r="D10">
        <v>9</v>
      </c>
      <c r="E10" t="s">
        <v>387</v>
      </c>
    </row>
    <row r="11" spans="1:5" x14ac:dyDescent="0.25">
      <c r="A11" t="s">
        <v>119</v>
      </c>
      <c r="B11" t="s">
        <v>137</v>
      </c>
      <c r="C11" t="s">
        <v>119</v>
      </c>
      <c r="D11">
        <v>10</v>
      </c>
      <c r="E11" t="s">
        <v>387</v>
      </c>
    </row>
    <row r="12" spans="1:5" x14ac:dyDescent="0.25">
      <c r="A12" t="s">
        <v>120</v>
      </c>
      <c r="B12" t="s">
        <v>138</v>
      </c>
      <c r="C12" t="s">
        <v>120</v>
      </c>
      <c r="D12">
        <v>11</v>
      </c>
      <c r="E12" t="s">
        <v>458</v>
      </c>
    </row>
    <row r="13" spans="1:5" x14ac:dyDescent="0.25">
      <c r="A13" t="s">
        <v>147</v>
      </c>
      <c r="B13" t="s">
        <v>139</v>
      </c>
      <c r="C13" t="s">
        <v>147</v>
      </c>
      <c r="D13">
        <v>12</v>
      </c>
      <c r="E13" t="s">
        <v>458</v>
      </c>
    </row>
    <row r="14" spans="1:5" x14ac:dyDescent="0.25">
      <c r="A14" t="s">
        <v>121</v>
      </c>
      <c r="B14" t="s">
        <v>140</v>
      </c>
      <c r="C14" t="s">
        <v>121</v>
      </c>
      <c r="D14">
        <v>13</v>
      </c>
      <c r="E14" t="s">
        <v>458</v>
      </c>
    </row>
    <row r="15" spans="1:5" x14ac:dyDescent="0.25">
      <c r="A15" t="s">
        <v>122</v>
      </c>
      <c r="B15" t="s">
        <v>130</v>
      </c>
      <c r="C15" t="s">
        <v>122</v>
      </c>
      <c r="D15">
        <v>14</v>
      </c>
      <c r="E15" t="s">
        <v>458</v>
      </c>
    </row>
    <row r="16" spans="1:5" x14ac:dyDescent="0.25">
      <c r="A16" t="s">
        <v>123</v>
      </c>
      <c r="B16" t="s">
        <v>141</v>
      </c>
      <c r="C16" t="s">
        <v>123</v>
      </c>
      <c r="D16">
        <v>15</v>
      </c>
      <c r="E16" t="s">
        <v>458</v>
      </c>
    </row>
    <row r="17" spans="1:5" x14ac:dyDescent="0.25">
      <c r="A17" t="s">
        <v>124</v>
      </c>
      <c r="B17" t="s">
        <v>142</v>
      </c>
      <c r="C17" t="s">
        <v>124</v>
      </c>
      <c r="D17">
        <v>16</v>
      </c>
      <c r="E17" t="s">
        <v>458</v>
      </c>
    </row>
    <row r="18" spans="1:5" x14ac:dyDescent="0.25">
      <c r="A18" t="s">
        <v>125</v>
      </c>
      <c r="B18" t="s">
        <v>143</v>
      </c>
      <c r="C18" t="s">
        <v>125</v>
      </c>
      <c r="D18">
        <v>17</v>
      </c>
      <c r="E18" t="s">
        <v>458</v>
      </c>
    </row>
    <row r="19" spans="1:5" x14ac:dyDescent="0.25">
      <c r="A19" t="s">
        <v>149</v>
      </c>
      <c r="B19" t="s">
        <v>144</v>
      </c>
      <c r="C19" t="s">
        <v>149</v>
      </c>
      <c r="D19">
        <v>18</v>
      </c>
      <c r="E19" t="s">
        <v>458</v>
      </c>
    </row>
    <row r="20" spans="1:5" x14ac:dyDescent="0.25">
      <c r="A20" t="s">
        <v>126</v>
      </c>
      <c r="B20" t="s">
        <v>145</v>
      </c>
      <c r="C20" t="s">
        <v>126</v>
      </c>
      <c r="D20">
        <v>19</v>
      </c>
      <c r="E20" t="s">
        <v>458</v>
      </c>
    </row>
    <row r="21" spans="1:5" x14ac:dyDescent="0.25">
      <c r="A21" t="s">
        <v>626</v>
      </c>
      <c r="B21" t="s">
        <v>146</v>
      </c>
      <c r="C21" t="s">
        <v>627</v>
      </c>
      <c r="D21">
        <v>20</v>
      </c>
      <c r="E21" t="s">
        <v>458</v>
      </c>
    </row>
  </sheetData>
  <pageMargins left="0.7" right="0.7" top="0.75" bottom="0.75" header="0.3" footer="0.3"/>
  <headerFooter>
    <oddFooter>&amp;C_x000D_&amp;1#&amp;"Aptos"&amp;8&amp;K000000 INTERNAL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ratings_clean</vt:lpstr>
      <vt:lpstr>ratings_map</vt:lpstr>
      <vt:lpstr>z_spread_and_yield</vt:lpstr>
      <vt:lpstr>sub_index</vt:lpstr>
      <vt:lpstr>rating_num_scale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Roberto Sanchez-Dahl</dc:creator>
  <cp:lastModifiedBy>Rodrigo Vargas</cp:lastModifiedBy>
  <cp:lastPrinted>2026-07-01T17:05:42Z</cp:lastPrinted>
  <dcterms:created xsi:type="dcterms:W3CDTF">2026-06-11T13:29:48Z</dcterms:created>
  <dcterms:modified xsi:type="dcterms:W3CDTF">2026-08-19T18:52:16Z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5a27cab5-59e6-424d-abbb-227cd06504a3_Enabled">
    <vt:lpwstr>true</vt:lpwstr>
  </property>
  <property fmtid="{D5CDD505-2E9C-101B-9397-08002B2CF9AE}" pid="3" name="MSIP_Label_5a27cab5-59e6-424d-abbb-227cd06504a3_SetDate">
    <vt:lpwstr>2026-06-11T16:10:41Z</vt:lpwstr>
  </property>
  <property fmtid="{D5CDD505-2E9C-101B-9397-08002B2CF9AE}" pid="4" name="MSIP_Label_5a27cab5-59e6-424d-abbb-227cd06504a3_Method">
    <vt:lpwstr>Privileged</vt:lpwstr>
  </property>
  <property fmtid="{D5CDD505-2E9C-101B-9397-08002B2CF9AE}" pid="5" name="MSIP_Label_5a27cab5-59e6-424d-abbb-227cd06504a3_Name">
    <vt:lpwstr>INTERNAL v2</vt:lpwstr>
  </property>
  <property fmtid="{D5CDD505-2E9C-101B-9397-08002B2CF9AE}" pid="6" name="MSIP_Label_5a27cab5-59e6-424d-abbb-227cd06504a3_SiteId">
    <vt:lpwstr>5d3e2773-e07f-4432-a630-1a0f68a28a05</vt:lpwstr>
  </property>
  <property fmtid="{D5CDD505-2E9C-101B-9397-08002B2CF9AE}" pid="7" name="MSIP_Label_5a27cab5-59e6-424d-abbb-227cd06504a3_ActionId">
    <vt:lpwstr>65a1cb28-967a-4945-8f1a-6136aa756edd</vt:lpwstr>
  </property>
  <property fmtid="{D5CDD505-2E9C-101B-9397-08002B2CF9AE}" pid="8" name="MSIP_Label_5a27cab5-59e6-424d-abbb-227cd06504a3_ContentBits">
    <vt:lpwstr>2</vt:lpwstr>
  </property>
  <property fmtid="{D5CDD505-2E9C-101B-9397-08002B2CF9AE}" pid="9" name="MSIP_Label_5a27cab5-59e6-424d-abbb-227cd06504a3_Tag">
    <vt:lpwstr>10, 0, 1, 1</vt:lpwstr>
  </property>
</Properties>
</file>